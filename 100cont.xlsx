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ezcollab-my.sharepoint.com/personal/nicolas_suarez_zimmerbiomet_com/Documents/Documents/Job/"/>
    </mc:Choice>
  </mc:AlternateContent>
  <xr:revisionPtr revIDLastSave="0" documentId="8_{8F5A32A2-E050-4961-A3D9-69326BBC7359}" xr6:coauthVersionLast="47" xr6:coauthVersionMax="47" xr10:uidLastSave="{00000000-0000-0000-0000-000000000000}"/>
  <bookViews>
    <workbookView xWindow="28680" yWindow="-120" windowWidth="38640" windowHeight="15720" activeTab="7" xr2:uid="{25D5A053-9E6F-42BE-B41E-68493BB74015}"/>
  </bookViews>
  <sheets>
    <sheet name="Reglas" sheetId="1" r:id="rId1"/>
    <sheet name="Ronda 1" sheetId="2" r:id="rId2"/>
    <sheet name="Ronda 2" sheetId="3" r:id="rId3"/>
    <sheet name="Final" sheetId="4" r:id="rId4"/>
    <sheet name="Otras Preguntas" sheetId="5" r:id="rId5"/>
    <sheet name="Minijuego Emojis" sheetId="6" r:id="rId6"/>
    <sheet name="Minijuego Canciones" sheetId="7" r:id="rId7"/>
    <sheet name="Sheet1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7" l="1"/>
  <c r="B52" i="7" s="1"/>
  <c r="B5" i="7"/>
  <c r="B6" i="7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4" i="7"/>
  <c r="E27" i="1"/>
  <c r="D27" i="1"/>
  <c r="F27" i="1"/>
  <c r="N18" i="1"/>
  <c r="Q22" i="1" s="1"/>
  <c r="R22" i="1" s="1"/>
  <c r="S22" i="1" s="1"/>
  <c r="J105" i="4"/>
  <c r="J94" i="4"/>
  <c r="J82" i="4"/>
  <c r="J71" i="4"/>
  <c r="J60" i="4"/>
  <c r="J49" i="4"/>
  <c r="J39" i="4"/>
  <c r="J28" i="4"/>
  <c r="J17" i="4"/>
  <c r="J5" i="4"/>
  <c r="J102" i="3"/>
  <c r="J91" i="3"/>
  <c r="J80" i="3"/>
  <c r="J69" i="3"/>
  <c r="J58" i="3"/>
  <c r="J47" i="3"/>
  <c r="J36" i="3"/>
  <c r="J26" i="3"/>
  <c r="J15" i="3"/>
  <c r="J5" i="3"/>
  <c r="Q25" i="1" l="1"/>
  <c r="R25" i="1" s="1"/>
  <c r="S25" i="1" s="1"/>
  <c r="Q24" i="1"/>
  <c r="R24" i="1" s="1"/>
  <c r="S24" i="1" s="1"/>
  <c r="Q19" i="1"/>
  <c r="R19" i="1" s="1"/>
  <c r="S19" i="1" s="1"/>
  <c r="Q20" i="1"/>
  <c r="R20" i="1" s="1"/>
  <c r="S20" i="1" s="1"/>
  <c r="Q21" i="1"/>
  <c r="R21" i="1" s="1"/>
  <c r="Q23" i="1"/>
  <c r="R23" i="1" s="1"/>
  <c r="S23" i="1" s="1"/>
  <c r="Q26" i="1"/>
  <c r="R26" i="1" s="1"/>
  <c r="S26" i="1" s="1"/>
  <c r="S21" i="1"/>
  <c r="Q18" i="1"/>
  <c r="R18" i="1" s="1"/>
  <c r="S18" i="1" s="1"/>
</calcChain>
</file>

<file path=xl/sharedStrings.xml><?xml version="1.0" encoding="utf-8"?>
<sst xmlns="http://schemas.openxmlformats.org/spreadsheetml/2006/main" count="846" uniqueCount="648">
  <si>
    <t>100 CONTADORES DIJERON</t>
  </si>
  <si>
    <t>Staff</t>
  </si>
  <si>
    <t>No estarán</t>
  </si>
  <si>
    <t>Nicolas</t>
  </si>
  <si>
    <t>Carolina G.</t>
  </si>
  <si>
    <t>PARTICIPANTES</t>
  </si>
  <si>
    <t>Sebas</t>
  </si>
  <si>
    <t>Majo N.</t>
  </si>
  <si>
    <t xml:space="preserve">•	32 personas aprox. </t>
  </si>
  <si>
    <t>Manu</t>
  </si>
  <si>
    <t>Paola V.</t>
  </si>
  <si>
    <t xml:space="preserve">•	4 equipos </t>
  </si>
  <si>
    <t xml:space="preserve">•	8 integrantes aprox. por equipo </t>
  </si>
  <si>
    <t>Equipo 1</t>
  </si>
  <si>
    <t>Equipo 2</t>
  </si>
  <si>
    <t>Equipo 3</t>
  </si>
  <si>
    <t>Equipo 4</t>
  </si>
  <si>
    <t>Raul</t>
  </si>
  <si>
    <t>Ivan</t>
  </si>
  <si>
    <t>Natalia</t>
  </si>
  <si>
    <t>Lina</t>
  </si>
  <si>
    <t>Carlos R.</t>
  </si>
  <si>
    <t>Mauricio</t>
  </si>
  <si>
    <t>John</t>
  </si>
  <si>
    <t>Deisy V.</t>
  </si>
  <si>
    <t>Katherin</t>
  </si>
  <si>
    <t>Mary</t>
  </si>
  <si>
    <t>Juan M.</t>
  </si>
  <si>
    <t>John G.</t>
  </si>
  <si>
    <t>(A) Cada equipo deberá escoger:</t>
  </si>
  <si>
    <t>Lina E.</t>
  </si>
  <si>
    <t>Diego M.</t>
  </si>
  <si>
    <t>Stefanie S.</t>
  </si>
  <si>
    <t>Diana R.</t>
  </si>
  <si>
    <r>
      <t>✅</t>
    </r>
    <r>
      <rPr>
        <sz val="12"/>
        <color theme="1"/>
        <rFont val="Aptos"/>
        <family val="2"/>
      </rPr>
      <t xml:space="preserve"> nombre</t>
    </r>
  </si>
  <si>
    <t>Carolina V.</t>
  </si>
  <si>
    <t>Gina O.</t>
  </si>
  <si>
    <t>Jessika C.</t>
  </si>
  <si>
    <t>Eduardo T.</t>
  </si>
  <si>
    <r>
      <t>✅</t>
    </r>
    <r>
      <rPr>
        <sz val="12"/>
        <color theme="1"/>
        <rFont val="Aptos"/>
        <family val="2"/>
      </rPr>
      <t xml:space="preserve"> capitán</t>
    </r>
  </si>
  <si>
    <t>Paula H.</t>
  </si>
  <si>
    <t>Karen Y.</t>
  </si>
  <si>
    <t>Luis D.</t>
  </si>
  <si>
    <t>Yellieth P.</t>
  </si>
  <si>
    <r>
      <t>✅</t>
    </r>
    <r>
      <rPr>
        <sz val="12"/>
        <color theme="1"/>
        <rFont val="Aptos"/>
        <family val="2"/>
      </rPr>
      <t xml:space="preserve"> Arenga</t>
    </r>
  </si>
  <si>
    <t>Martha N.</t>
  </si>
  <si>
    <t>Carlos C.</t>
  </si>
  <si>
    <t>Paola J,</t>
  </si>
  <si>
    <t>Lina L.</t>
  </si>
  <si>
    <t>Luis C.</t>
  </si>
  <si>
    <t>Diego B.</t>
  </si>
  <si>
    <t>Karen O.</t>
  </si>
  <si>
    <t>Sergio S.</t>
  </si>
  <si>
    <t>Claudia M.</t>
  </si>
  <si>
    <t>Etapa</t>
  </si>
  <si>
    <t>Tiempo 1</t>
  </si>
  <si>
    <t>Tiempo 2</t>
  </si>
  <si>
    <t>Tiempo 3</t>
  </si>
  <si>
    <r>
      <t>🎤</t>
    </r>
    <r>
      <rPr>
        <sz val="12"/>
        <color theme="1"/>
        <rFont val="Aptos"/>
        <family val="2"/>
      </rPr>
      <t xml:space="preserve"> Bienvenida + reglas</t>
    </r>
  </si>
  <si>
    <r>
      <t>👥</t>
    </r>
    <r>
      <rPr>
        <sz val="12"/>
        <color theme="1"/>
        <rFont val="Aptos"/>
        <family val="2"/>
      </rPr>
      <t xml:space="preserve"> Presentación de equipos</t>
    </r>
  </si>
  <si>
    <t>(A)</t>
  </si>
  <si>
    <r>
      <t>⚔️</t>
    </r>
    <r>
      <rPr>
        <sz val="12"/>
        <color theme="1"/>
        <rFont val="Aptos"/>
        <family val="2"/>
      </rPr>
      <t xml:space="preserve"> Ronda 1</t>
    </r>
  </si>
  <si>
    <t>L1</t>
  </si>
  <si>
    <r>
      <t>🎉</t>
    </r>
    <r>
      <rPr>
        <sz val="12"/>
        <color theme="1"/>
        <rFont val="Aptos"/>
        <family val="2"/>
      </rPr>
      <t xml:space="preserve"> Minijuego 1</t>
    </r>
  </si>
  <si>
    <r>
      <t>⚔️</t>
    </r>
    <r>
      <rPr>
        <sz val="12"/>
        <color theme="1"/>
        <rFont val="Aptos"/>
        <family val="2"/>
      </rPr>
      <t xml:space="preserve"> Ronda 2</t>
    </r>
  </si>
  <si>
    <t>L2</t>
  </si>
  <si>
    <r>
      <t>🎉</t>
    </r>
    <r>
      <rPr>
        <sz val="12"/>
        <color theme="1"/>
        <rFont val="Aptos"/>
        <family val="2"/>
      </rPr>
      <t xml:space="preserve"> Minijuego 2</t>
    </r>
  </si>
  <si>
    <r>
      <rPr>
        <sz val="12"/>
        <color rgb="FF000000"/>
        <rFont val="Segoe UI Emoji"/>
      </rPr>
      <t>☕</t>
    </r>
    <r>
      <rPr>
        <sz val="12"/>
        <color rgb="FF000000"/>
        <rFont val="Aptos"/>
      </rPr>
      <t xml:space="preserve"> Break corto</t>
    </r>
  </si>
  <si>
    <r>
      <t>🏁</t>
    </r>
    <r>
      <rPr>
        <sz val="12"/>
        <color theme="1"/>
        <rFont val="Aptos"/>
        <family val="2"/>
      </rPr>
      <t xml:space="preserve"> Gran final</t>
    </r>
  </si>
  <si>
    <t>Ganador L1 vs Ganador L2</t>
  </si>
  <si>
    <r>
      <t>🏆</t>
    </r>
    <r>
      <rPr>
        <sz val="12"/>
        <color theme="1"/>
        <rFont val="Aptos"/>
        <family val="2"/>
      </rPr>
      <t xml:space="preserve"> Premiación + cierre</t>
    </r>
  </si>
  <si>
    <t>TOTAL Minutos</t>
  </si>
  <si>
    <r>
      <t>⚔️</t>
    </r>
    <r>
      <rPr>
        <b/>
        <sz val="12"/>
        <color theme="1"/>
        <rFont val="Aptos"/>
        <family val="2"/>
      </rPr>
      <t xml:space="preserve"> RONDAS CLASIFICATORIAS</t>
    </r>
  </si>
  <si>
    <t>Ronda 1</t>
  </si>
  <si>
    <r>
      <t xml:space="preserve">Equipo 1 </t>
    </r>
    <r>
      <rPr>
        <sz val="12"/>
        <color theme="1"/>
        <rFont val="Segoe UI Emoji"/>
        <family val="2"/>
      </rPr>
      <t>🆚</t>
    </r>
    <r>
      <rPr>
        <sz val="12"/>
        <color theme="1"/>
        <rFont val="Aptos"/>
        <family val="2"/>
      </rPr>
      <t xml:space="preserve"> Equipo 2</t>
    </r>
  </si>
  <si>
    <t>Ronda 2</t>
  </si>
  <si>
    <r>
      <t xml:space="preserve">Equipo 3 </t>
    </r>
    <r>
      <rPr>
        <sz val="12"/>
        <color theme="1"/>
        <rFont val="Segoe UI Emoji"/>
        <family val="2"/>
      </rPr>
      <t>🆚</t>
    </r>
    <r>
      <rPr>
        <sz val="12"/>
        <color theme="1"/>
        <rFont val="Aptos"/>
        <family val="2"/>
      </rPr>
      <t xml:space="preserve"> Equipo 4</t>
    </r>
  </si>
  <si>
    <r>
      <t>🎯</t>
    </r>
    <r>
      <rPr>
        <b/>
        <sz val="12"/>
        <color theme="1"/>
        <rFont val="Aptos"/>
        <family val="2"/>
      </rPr>
      <t xml:space="preserve"> OBJETIVO DE LAS RONDAS</t>
    </r>
  </si>
  <si>
    <t>Ganará la ronda:</t>
  </si>
  <si>
    <r>
      <t>🟡</t>
    </r>
    <r>
      <rPr>
        <b/>
        <sz val="12"/>
        <color theme="1"/>
        <rFont val="Aptos"/>
        <family val="2"/>
      </rPr>
      <t xml:space="preserve"> el primer equipo en llegar a 150 puntos</t>
    </r>
  </si>
  <si>
    <r>
      <t>📌</t>
    </r>
    <r>
      <rPr>
        <sz val="12"/>
        <color theme="1"/>
        <rFont val="Aptos"/>
        <family val="2"/>
      </rPr>
      <t xml:space="preserve"> Si el tiempo termina antes:</t>
    </r>
  </si>
  <si>
    <t>ganará el equipo con mayor puntaje.</t>
  </si>
  <si>
    <r>
      <t>📌</t>
    </r>
    <r>
      <rPr>
        <sz val="12"/>
        <color theme="1"/>
        <rFont val="Aptos"/>
        <family val="2"/>
      </rPr>
      <t xml:space="preserve"> Si se acaban las preguntas</t>
    </r>
  </si>
  <si>
    <r>
      <t>🎯</t>
    </r>
    <r>
      <rPr>
        <b/>
        <sz val="12"/>
        <color theme="1"/>
        <rFont val="Aptos"/>
        <family val="2"/>
      </rPr>
      <t xml:space="preserve"> OBJETIVO DE LA FINAL</t>
    </r>
  </si>
  <si>
    <t>Ganará:</t>
  </si>
  <si>
    <r>
      <t>🔥</t>
    </r>
    <r>
      <rPr>
        <b/>
        <sz val="12"/>
        <color theme="1"/>
        <rFont val="Aptos"/>
        <family val="2"/>
      </rPr>
      <t xml:space="preserve"> el primer equipo en llegar a 300 puntos</t>
    </r>
  </si>
  <si>
    <t>🎮 MECÁNICA OFICIAL DEL JUEGO</t>
  </si>
  <si>
    <t>1️⃣ CARA A CARA ⚔️</t>
  </si>
  <si>
    <t>Por cada pregunta:</t>
  </si>
  <si>
    <t xml:space="preserve">pasa 1 participante de cada equipo. </t>
  </si>
  <si>
    <r>
      <t>⚠️</t>
    </r>
    <r>
      <rPr>
        <sz val="12"/>
        <color theme="1"/>
        <rFont val="Aptos"/>
        <family val="2"/>
      </rPr>
      <t xml:space="preserve"> Los participantes deben rotar constantemente.</t>
    </r>
  </si>
  <si>
    <r>
      <rPr>
        <b/>
        <sz val="12"/>
        <color theme="1"/>
        <rFont val="Segoe UI Symbol"/>
        <family val="2"/>
      </rPr>
      <t>2️⃣</t>
    </r>
    <r>
      <rPr>
        <b/>
        <sz val="12"/>
        <color theme="1"/>
        <rFont val="Aptos"/>
        <family val="2"/>
      </rPr>
      <t xml:space="preserve"> LECTURA DE LA PREGUNTA </t>
    </r>
    <r>
      <rPr>
        <b/>
        <sz val="12"/>
        <color theme="1"/>
        <rFont val="Segoe UI Emoji"/>
        <family val="2"/>
      </rPr>
      <t>🎙️</t>
    </r>
  </si>
  <si>
    <t>El moderador leerá preguntas tipo:</t>
  </si>
  <si>
    <t>💼</t>
  </si>
  <si>
    <t>“100 contadores dijeron: _________”</t>
  </si>
  <si>
    <r>
      <rPr>
        <b/>
        <sz val="12"/>
        <color theme="1"/>
        <rFont val="Segoe UI Symbol"/>
        <family val="2"/>
      </rPr>
      <t>3️⃣</t>
    </r>
    <r>
      <rPr>
        <b/>
        <sz val="12"/>
        <color theme="1"/>
        <rFont val="Aptos"/>
        <family val="2"/>
      </rPr>
      <t xml:space="preserve"> RESPUESTA RÁPIDA </t>
    </r>
    <r>
      <rPr>
        <b/>
        <sz val="12"/>
        <color theme="1"/>
        <rFont val="Segoe UI Emoji"/>
        <family val="2"/>
      </rPr>
      <t>⚡</t>
    </r>
  </si>
  <si>
    <t>Los jugadores competirán usando:</t>
  </si>
  <si>
    <r>
      <t>📌</t>
    </r>
    <r>
      <rPr>
        <b/>
        <sz val="12"/>
        <color theme="1"/>
        <rFont val="Aptos"/>
        <family val="2"/>
      </rPr>
      <t xml:space="preserve"> Si la respuesta existe:</t>
    </r>
  </si>
  <si>
    <t>Boton</t>
  </si>
  <si>
    <t>se revela el puntaje.</t>
  </si>
  <si>
    <t>El primero en apretar el boton responde.</t>
  </si>
  <si>
    <t>Luego responde el otro participante.</t>
  </si>
  <si>
    <t>Si responde mal, se le cede el turno al otro participante</t>
  </si>
  <si>
    <t>Si responde bien, se mira qué tan popular es su respuesta.</t>
  </si>
  <si>
    <r>
      <t>🏆</t>
    </r>
    <r>
      <rPr>
        <b/>
        <sz val="12"/>
        <color theme="1"/>
        <rFont val="Aptos"/>
        <family val="2"/>
      </rPr>
      <t xml:space="preserve"> CONTROL DE LA PREGUNTA</t>
    </r>
  </si>
  <si>
    <t>Si la respuesta no es la más popular, el otro participante tiene la oportunidad responder.</t>
  </si>
  <si>
    <t>El equipo que diga:</t>
  </si>
  <si>
    <t>El equipo que comenzará a jugar será el que haya dado la respuesta más popular.</t>
  </si>
  <si>
    <t>la respuesta con mayor puntaje</t>
  </si>
  <si>
    <t>gana el control de la pregunta.</t>
  </si>
  <si>
    <r>
      <rPr>
        <b/>
        <sz val="12"/>
        <color theme="1"/>
        <rFont val="Segoe UI Symbol"/>
        <family val="2"/>
      </rPr>
      <t>4️⃣</t>
    </r>
    <r>
      <rPr>
        <b/>
        <sz val="12"/>
        <color theme="1"/>
        <rFont val="Aptos"/>
        <family val="2"/>
      </rPr>
      <t xml:space="preserve"> EL EQUIPO JUEGA </t>
    </r>
    <r>
      <rPr>
        <b/>
        <sz val="12"/>
        <color theme="1"/>
        <rFont val="Segoe UI Emoji"/>
        <family val="2"/>
      </rPr>
      <t>🧠</t>
    </r>
  </si>
  <si>
    <t>El equipo que ganó el cara a cara:</t>
  </si>
  <si>
    <t>juega automáticamente.</t>
  </si>
  <si>
    <t>(No existe opción de pasar.)</t>
  </si>
  <si>
    <r>
      <t>📌</t>
    </r>
    <r>
      <rPr>
        <b/>
        <sz val="12"/>
        <color theme="1"/>
        <rFont val="Aptos"/>
        <family val="2"/>
      </rPr>
      <t xml:space="preserve"> Dinámica del equipo</t>
    </r>
  </si>
  <si>
    <t>Todos pueden:</t>
  </si>
  <si>
    <t>ayudar,</t>
  </si>
  <si>
    <t>discutir,</t>
  </si>
  <si>
    <r>
      <t xml:space="preserve">proponer respuestas </t>
    </r>
    <r>
      <rPr>
        <sz val="12"/>
        <color theme="1"/>
        <rFont val="Segoe UI Emoji"/>
        <family val="2"/>
      </rPr>
      <t>😂</t>
    </r>
  </si>
  <si>
    <t>Pero:</t>
  </si>
  <si>
    <t>Da la respuesta el participante en turno</t>
  </si>
  <si>
    <r>
      <rPr>
        <b/>
        <sz val="12"/>
        <color theme="1"/>
        <rFont val="Segoe UI Symbol"/>
        <family val="2"/>
      </rPr>
      <t>5️⃣</t>
    </r>
    <r>
      <rPr>
        <b/>
        <sz val="12"/>
        <color theme="1"/>
        <rFont val="Aptos"/>
        <family val="2"/>
      </rPr>
      <t xml:space="preserve"> ERRORES </t>
    </r>
    <r>
      <rPr>
        <b/>
        <sz val="12"/>
        <color theme="1"/>
        <rFont val="Segoe UI Emoji"/>
        <family val="2"/>
      </rPr>
      <t>❌</t>
    </r>
  </si>
  <si>
    <t>Cada equipo puede cometer máximo:</t>
  </si>
  <si>
    <r>
      <t>❌❌❌</t>
    </r>
    <r>
      <rPr>
        <b/>
        <sz val="12"/>
        <color theme="1"/>
        <rFont val="Aptos"/>
        <family val="2"/>
      </rPr>
      <t xml:space="preserve"> 3 errores</t>
    </r>
  </si>
  <si>
    <t>Al tercer error:</t>
  </si>
  <si>
    <r>
      <t>😈</t>
    </r>
    <r>
      <rPr>
        <b/>
        <sz val="12"/>
        <color theme="1"/>
        <rFont val="Aptos"/>
        <family val="2"/>
      </rPr>
      <t xml:space="preserve"> ROBO.</t>
    </r>
  </si>
  <si>
    <r>
      <rPr>
        <b/>
        <sz val="12"/>
        <color theme="1"/>
        <rFont val="Segoe UI Symbol"/>
        <family val="2"/>
      </rPr>
      <t>6️⃣</t>
    </r>
    <r>
      <rPr>
        <b/>
        <sz val="12"/>
        <color theme="1"/>
        <rFont val="Aptos"/>
        <family val="2"/>
      </rPr>
      <t xml:space="preserve"> ROBO </t>
    </r>
    <r>
      <rPr>
        <b/>
        <sz val="12"/>
        <color theme="1"/>
        <rFont val="Segoe UI Emoji"/>
        <family val="2"/>
      </rPr>
      <t>😈</t>
    </r>
  </si>
  <si>
    <t>El equipo rival tendrá:</t>
  </si>
  <si>
    <t>UNA oportunidad</t>
  </si>
  <si>
    <t>para dar:</t>
  </si>
  <si>
    <t>UNA respuesta válida.</t>
  </si>
  <si>
    <r>
      <t>📌</t>
    </r>
    <r>
      <rPr>
        <b/>
        <sz val="12"/>
        <color theme="1"/>
        <rFont val="Aptos"/>
        <family val="2"/>
      </rPr>
      <t xml:space="preserve"> Si aciertan:</t>
    </r>
  </si>
  <si>
    <r>
      <t>🔥</t>
    </r>
    <r>
      <rPr>
        <sz val="12"/>
        <color theme="1"/>
        <rFont val="Aptos"/>
        <family val="2"/>
      </rPr>
      <t xml:space="preserve"> se quedan con todos los puntos acumulados del otro equipo más el acierto.</t>
    </r>
  </si>
  <si>
    <r>
      <t>📌</t>
    </r>
    <r>
      <rPr>
        <b/>
        <sz val="12"/>
        <color theme="1"/>
        <rFont val="Aptos"/>
        <family val="2"/>
      </rPr>
      <t xml:space="preserve"> Si no aciertan:</t>
    </r>
  </si>
  <si>
    <r>
      <t>🔥</t>
    </r>
    <r>
      <rPr>
        <sz val="12"/>
        <color theme="1"/>
        <rFont val="Aptos"/>
        <family val="2"/>
      </rPr>
      <t xml:space="preserve"> el otro equipo se queda con los puntos obtenidos durante su turno</t>
    </r>
  </si>
  <si>
    <r>
      <t>⚡</t>
    </r>
    <r>
      <rPr>
        <b/>
        <sz val="12"/>
        <color theme="1"/>
        <rFont val="Aptos"/>
        <family val="2"/>
      </rPr>
      <t xml:space="preserve"> MUERTE SÚBITA</t>
    </r>
  </si>
  <si>
    <t>Solo si hay empate en la final.</t>
  </si>
  <si>
    <t>Reglas:</t>
  </si>
  <si>
    <t>1 representante por equipo,</t>
  </si>
  <si>
    <t>1 sola pregunta,</t>
  </si>
  <si>
    <t xml:space="preserve">el primero en acertar la respuesta más alta: </t>
  </si>
  <si>
    <r>
      <t>🏆</t>
    </r>
    <r>
      <rPr>
        <b/>
        <sz val="12"/>
        <color theme="1"/>
        <rFont val="Aptos"/>
        <family val="2"/>
      </rPr>
      <t xml:space="preserve"> gana.</t>
    </r>
  </si>
  <si>
    <t>Preguntas</t>
  </si>
  <si>
    <t>Algo que le cobren a uno caro aunque realmente no lo sea</t>
  </si>
  <si>
    <t>Respuesta</t>
  </si>
  <si>
    <t>Puntos</t>
  </si>
  <si>
    <t>Impuestos</t>
  </si>
  <si>
    <t>Café en aeropuerto</t>
  </si>
  <si>
    <t>Cine/comidas rápidas</t>
  </si>
  <si>
    <t>Parqueaderos</t>
  </si>
  <si>
    <r>
      <t xml:space="preserve">Agua en eventos </t>
    </r>
    <r>
      <rPr>
        <sz val="12"/>
        <color theme="1"/>
        <rFont val="Segoe UI Emoji"/>
        <family val="2"/>
      </rPr>
      <t>😂</t>
    </r>
  </si>
  <si>
    <t>Apps/suscripciones</t>
  </si>
  <si>
    <t>Envíos/domicilios</t>
  </si>
  <si>
    <t>algo que la gente finge entender</t>
  </si>
  <si>
    <t>Excel avanzado</t>
  </si>
  <si>
    <t>Política</t>
  </si>
  <si>
    <t>Criptomonedas</t>
  </si>
  <si>
    <r>
      <t xml:space="preserve">Contabilidad </t>
    </r>
    <r>
      <rPr>
        <sz val="12"/>
        <color theme="1"/>
        <rFont val="Segoe UI Emoji"/>
        <family val="2"/>
      </rPr>
      <t>😭</t>
    </r>
  </si>
  <si>
    <t>Inteligencia artificial</t>
  </si>
  <si>
    <t>Inglés</t>
  </si>
  <si>
    <r>
      <t xml:space="preserve">Vinos/café gourmet </t>
    </r>
    <r>
      <rPr>
        <sz val="12"/>
        <color theme="1"/>
        <rFont val="Segoe UI Emoji"/>
        <family val="2"/>
      </rPr>
      <t>😂</t>
    </r>
  </si>
  <si>
    <t>algo que uno guarda ‘por si acaso’</t>
  </si>
  <si>
    <t>Bolsas</t>
  </si>
  <si>
    <t>Correos viejos</t>
  </si>
  <si>
    <t>Cables/cargadores</t>
  </si>
  <si>
    <t>Cajas</t>
  </si>
  <si>
    <t>Ropa</t>
  </si>
  <si>
    <t>Facturas/documentos</t>
  </si>
  <si>
    <r>
      <t xml:space="preserve">Frascos </t>
    </r>
    <r>
      <rPr>
        <sz val="12"/>
        <color theme="1"/>
        <rFont val="Segoe UI Emoji"/>
        <family val="2"/>
      </rPr>
      <t>😂</t>
    </r>
  </si>
  <si>
    <t>algo que uno hace diferente cuando está solo</t>
  </si>
  <si>
    <t>Hablar solo</t>
  </si>
  <si>
    <t>Cantar</t>
  </si>
  <si>
    <r>
      <t xml:space="preserve">Comer raro </t>
    </r>
    <r>
      <rPr>
        <sz val="12"/>
        <color theme="1"/>
        <rFont val="Segoe UI Emoji"/>
        <family val="2"/>
      </rPr>
      <t>😂</t>
    </r>
  </si>
  <si>
    <t>Bailar</t>
  </si>
  <si>
    <t>Ver videos absurdos</t>
  </si>
  <si>
    <t>Hacer caras raras</t>
  </si>
  <si>
    <r>
      <t xml:space="preserve">Hablar con mascotas </t>
    </r>
    <r>
      <rPr>
        <sz val="12"/>
        <color theme="1"/>
        <rFont val="Segoe UI Emoji"/>
        <family val="2"/>
      </rPr>
      <t>😭</t>
    </r>
  </si>
  <si>
    <t>algo que hace sentir adulto inmediatamente</t>
  </si>
  <si>
    <t>Pagar cuentas</t>
  </si>
  <si>
    <t>Hacer mercado</t>
  </si>
  <si>
    <r>
      <t xml:space="preserve">Declarar renta </t>
    </r>
    <r>
      <rPr>
        <sz val="12"/>
        <color theme="1"/>
        <rFont val="Segoe UI Emoji"/>
        <family val="2"/>
      </rPr>
      <t>😂</t>
    </r>
  </si>
  <si>
    <t>Tener deudas</t>
  </si>
  <si>
    <t>Madrugar</t>
  </si>
  <si>
    <t>Comprar electrodomésticos</t>
  </si>
  <si>
    <r>
      <t xml:space="preserve">Hablar de seguros </t>
    </r>
    <r>
      <rPr>
        <sz val="12"/>
        <color theme="1"/>
        <rFont val="Segoe UI Emoji"/>
        <family val="2"/>
      </rPr>
      <t>😭</t>
    </r>
  </si>
  <si>
    <t>algo que la gente revisa aunque sabe que no ha cambiado</t>
  </si>
  <si>
    <t>WhatsApp</t>
  </si>
  <si>
    <r>
      <t xml:space="preserve">Nevera </t>
    </r>
    <r>
      <rPr>
        <sz val="12"/>
        <color theme="1"/>
        <rFont val="Segoe UI Emoji"/>
        <family val="2"/>
      </rPr>
      <t>😂</t>
    </r>
  </si>
  <si>
    <t>Redes sociales</t>
  </si>
  <si>
    <t>Correo</t>
  </si>
  <si>
    <t>Cuenta bancaria</t>
  </si>
  <si>
    <t>Clima</t>
  </si>
  <si>
    <r>
      <t xml:space="preserve">Teams </t>
    </r>
    <r>
      <rPr>
        <sz val="12"/>
        <color theme="1"/>
        <rFont val="Segoe UI Emoji"/>
        <family val="2"/>
      </rPr>
      <t>😭</t>
    </r>
  </si>
  <si>
    <t>algo que siempre se subestima</t>
  </si>
  <si>
    <t>El tráfico</t>
  </si>
  <si>
    <t>El cansancio</t>
  </si>
  <si>
    <t>Los gastos pequeños</t>
  </si>
  <si>
    <t>El tiempo</t>
  </si>
  <si>
    <r>
      <t xml:space="preserve">Una auditoría </t>
    </r>
    <r>
      <rPr>
        <sz val="12"/>
        <color theme="1"/>
        <rFont val="Segoe UI Emoji"/>
        <family val="2"/>
      </rPr>
      <t>😂</t>
    </r>
  </si>
  <si>
    <t>Las filas</t>
  </si>
  <si>
    <r>
      <t xml:space="preserve">El cierre de mes </t>
    </r>
    <r>
      <rPr>
        <sz val="12"/>
        <color theme="1"/>
        <rFont val="Segoe UI Emoji"/>
        <family val="2"/>
      </rPr>
      <t>😭</t>
    </r>
  </si>
  <si>
    <t>algo que parece fácil hasta que toca hacerlo</t>
  </si>
  <si>
    <t>Cocinar</t>
  </si>
  <si>
    <t>Manejar</t>
  </si>
  <si>
    <t>Hablar inglés</t>
  </si>
  <si>
    <t>Hacer ejercicio constante</t>
  </si>
  <si>
    <r>
      <t xml:space="preserve">Ahorrar </t>
    </r>
    <r>
      <rPr>
        <sz val="12"/>
        <color theme="1"/>
        <rFont val="Segoe UI Emoji"/>
        <family val="2"/>
      </rPr>
      <t>😂</t>
    </r>
  </si>
  <si>
    <t>Usar Excel avanzado</t>
  </si>
  <si>
    <r>
      <t xml:space="preserve">Armar muebles </t>
    </r>
    <r>
      <rPr>
        <sz val="12"/>
        <color theme="1"/>
        <rFont val="Segoe UI Emoji"/>
        <family val="2"/>
      </rPr>
      <t>😭</t>
    </r>
  </si>
  <si>
    <t>algo que uno aprende demasiado tarde</t>
  </si>
  <si>
    <t>Ahorrar</t>
  </si>
  <si>
    <t>Decir que no</t>
  </si>
  <si>
    <r>
      <t xml:space="preserve">Invertir </t>
    </r>
    <r>
      <rPr>
        <sz val="12"/>
        <color theme="1"/>
        <rFont val="Segoe UI Emoji"/>
        <family val="2"/>
      </rPr>
      <t>😂</t>
    </r>
  </si>
  <si>
    <t>Excel</t>
  </si>
  <si>
    <r>
      <t xml:space="preserve">Dormir temprano </t>
    </r>
    <r>
      <rPr>
        <sz val="12"/>
        <color theme="1"/>
        <rFont val="Segoe UI Emoji"/>
        <family val="2"/>
      </rPr>
      <t>😭</t>
    </r>
  </si>
  <si>
    <t>algo que la gente hace para parecer ocupada</t>
  </si>
  <si>
    <t>Caminar rápido</t>
  </si>
  <si>
    <r>
      <t xml:space="preserve">Abrir Excel </t>
    </r>
    <r>
      <rPr>
        <sz val="12"/>
        <color theme="1"/>
        <rFont val="Segoe UI Emoji"/>
        <family val="2"/>
      </rPr>
      <t>😂</t>
    </r>
  </si>
  <si>
    <t>Mirar serio la pantalla</t>
  </si>
  <si>
    <t>Escribir mucho en Teams</t>
  </si>
  <si>
    <t>Llevar agenda en la mano</t>
  </si>
  <si>
    <r>
      <t xml:space="preserve">Hacer llamadas falsas </t>
    </r>
    <r>
      <rPr>
        <sz val="12"/>
        <color theme="1"/>
        <rFont val="Segoe UI Emoji"/>
        <family val="2"/>
      </rPr>
      <t>😭</t>
    </r>
  </si>
  <si>
    <t>Fruncir el ceño</t>
  </si>
  <si>
    <t>algo que uno deja para último momento</t>
  </si>
  <si>
    <t>Total</t>
  </si>
  <si>
    <t>Impuestos/declaraciones</t>
  </si>
  <si>
    <t>Presentaciones</t>
  </si>
  <si>
    <t>Responder correos</t>
  </si>
  <si>
    <r>
      <t xml:space="preserve">Lavar ropa </t>
    </r>
    <r>
      <rPr>
        <sz val="12"/>
        <color theme="1"/>
        <rFont val="Segoe UI Emoji"/>
        <family val="2"/>
      </rPr>
      <t>😂</t>
    </r>
  </si>
  <si>
    <t>Renovar documentos</t>
  </si>
  <si>
    <r>
      <t xml:space="preserve">Organizar archivos </t>
    </r>
    <r>
      <rPr>
        <sz val="12"/>
        <color theme="1"/>
        <rFont val="Segoe UI Emoji"/>
        <family val="2"/>
      </rPr>
      <t>😭</t>
    </r>
  </si>
  <si>
    <t>algo que uno cree que hará rápido y termina quitándole todo el día</t>
  </si>
  <si>
    <t>Una reunión</t>
  </si>
  <si>
    <t>Ir al banco</t>
  </si>
  <si>
    <t>Un reporte/Excel</t>
  </si>
  <si>
    <t>Hacer diligencias</t>
  </si>
  <si>
    <r>
      <t xml:space="preserve">Una llamada “rápida” </t>
    </r>
    <r>
      <rPr>
        <sz val="12"/>
        <color theme="1"/>
        <rFont val="Segoe UI Emoji"/>
        <family val="2"/>
      </rPr>
      <t>😂</t>
    </r>
  </si>
  <si>
    <t>Arreglar un error</t>
  </si>
  <si>
    <r>
      <t xml:space="preserve">Actualizar algo del sistema </t>
    </r>
    <r>
      <rPr>
        <sz val="12"/>
        <color theme="1"/>
        <rFont val="Segoe UI Emoji"/>
        <family val="2"/>
      </rPr>
      <t>😭</t>
    </r>
  </si>
  <si>
    <t>algo que da pena preguntar</t>
  </si>
  <si>
    <t>“¿Cómo se hace esto?”</t>
  </si>
  <si>
    <t>El salario de alguien</t>
  </si>
  <si>
    <t>Repetir una explicación</t>
  </si>
  <si>
    <r>
      <t xml:space="preserve">Pedir plata prestada </t>
    </r>
    <r>
      <rPr>
        <sz val="12"/>
        <color theme="1"/>
        <rFont val="Segoe UI Emoji"/>
        <family val="2"/>
      </rPr>
      <t>😂</t>
    </r>
  </si>
  <si>
    <t>Preguntar dónde queda algo</t>
  </si>
  <si>
    <t>Preguntar algo “obvio”</t>
  </si>
  <si>
    <r>
      <t xml:space="preserve">Cómo funciona Excel </t>
    </r>
    <r>
      <rPr>
        <sz val="12"/>
        <color theme="1"/>
        <rFont val="Segoe UI Emoji"/>
        <family val="2"/>
      </rPr>
      <t>😭</t>
    </r>
  </si>
  <si>
    <t>algo que uno compra emocionado y deja de usar rápido</t>
  </si>
  <si>
    <r>
      <t xml:space="preserve">Gimnasio </t>
    </r>
    <r>
      <rPr>
        <sz val="12"/>
        <color theme="1"/>
        <rFont val="Segoe UI Emoji"/>
        <family val="2"/>
      </rPr>
      <t>😂</t>
    </r>
  </si>
  <si>
    <t>Tecnología</t>
  </si>
  <si>
    <t>Libros</t>
  </si>
  <si>
    <t>Cursos</t>
  </si>
  <si>
    <r>
      <t xml:space="preserve">Air fryer </t>
    </r>
    <r>
      <rPr>
        <sz val="12"/>
        <color theme="1"/>
        <rFont val="Segoe UI Emoji"/>
        <family val="2"/>
      </rPr>
      <t>😭</t>
    </r>
  </si>
  <si>
    <t>algo que hace pensar que alguien tiene plata</t>
  </si>
  <si>
    <t>Viajar mucho</t>
  </si>
  <si>
    <t>iPhone nuevo</t>
  </si>
  <si>
    <t>Comer afuera seguido</t>
  </si>
  <si>
    <t>Carro caro</t>
  </si>
  <si>
    <r>
      <t xml:space="preserve">Comprar sin mirar precios </t>
    </r>
    <r>
      <rPr>
        <sz val="12"/>
        <color theme="1"/>
        <rFont val="Segoe UI Emoji"/>
        <family val="2"/>
      </rPr>
      <t>😂</t>
    </r>
  </si>
  <si>
    <t>Ropa de marca</t>
  </si>
  <si>
    <r>
      <t xml:space="preserve">No preguntar cuánto vale </t>
    </r>
    <r>
      <rPr>
        <sz val="12"/>
        <color theme="1"/>
        <rFont val="Segoe UI Emoji"/>
        <family val="2"/>
      </rPr>
      <t>😭</t>
    </r>
  </si>
  <si>
    <t>algo que uno empieza motivado y abandona</t>
  </si>
  <si>
    <t>Dieta</t>
  </si>
  <si>
    <t>Gimnasio</t>
  </si>
  <si>
    <t>Cursos/estudios</t>
  </si>
  <si>
    <t>Leer libros</t>
  </si>
  <si>
    <t>Aprender inglés</t>
  </si>
  <si>
    <r>
      <t xml:space="preserve">Organización personal </t>
    </r>
    <r>
      <rPr>
        <sz val="12"/>
        <color theme="1"/>
        <rFont val="Segoe UI Emoji"/>
        <family val="2"/>
      </rPr>
      <t>😭</t>
    </r>
  </si>
  <si>
    <t>algo que siempre aparece cuando uno está ocupado</t>
  </si>
  <si>
    <t>Reuniones</t>
  </si>
  <si>
    <t>Llamadas</t>
  </si>
  <si>
    <t>Correos urgentes</t>
  </si>
  <si>
    <t>Problemas técnicos</t>
  </si>
  <si>
    <r>
      <t xml:space="preserve">Gente pidiendo ayuda </t>
    </r>
    <r>
      <rPr>
        <sz val="12"/>
        <color theme="1"/>
        <rFont val="Segoe UI Emoji"/>
        <family val="2"/>
      </rPr>
      <t>😂</t>
    </r>
  </si>
  <si>
    <t>Mensajes del jefe</t>
  </si>
  <si>
    <r>
      <t xml:space="preserve">Actualizaciones </t>
    </r>
    <r>
      <rPr>
        <sz val="12"/>
        <color theme="1"/>
        <rFont val="Segoe UI Emoji"/>
        <family val="2"/>
      </rPr>
      <t>😭</t>
    </r>
  </si>
  <si>
    <t>algo que la gente aparenta disfrutar</t>
  </si>
  <si>
    <t>Networking</t>
  </si>
  <si>
    <t>Reuniones sociales</t>
  </si>
  <si>
    <t>Hacer ejercicio</t>
  </si>
  <si>
    <r>
      <t xml:space="preserve">Comida saludable </t>
    </r>
    <r>
      <rPr>
        <sz val="12"/>
        <color theme="1"/>
        <rFont val="Segoe UI Emoji"/>
        <family val="2"/>
      </rPr>
      <t>😂</t>
    </r>
  </si>
  <si>
    <t>Café sin azúcar</t>
  </si>
  <si>
    <r>
      <t xml:space="preserve">LinkedIn </t>
    </r>
    <r>
      <rPr>
        <sz val="12"/>
        <color theme="1"/>
        <rFont val="Segoe UI Emoji"/>
        <family val="2"/>
      </rPr>
      <t>😭</t>
    </r>
  </si>
  <si>
    <t>algo que la gente exagera mucho</t>
  </si>
  <si>
    <r>
      <t xml:space="preserve">El cansancio </t>
    </r>
    <r>
      <rPr>
        <sz val="12"/>
        <color theme="1"/>
        <rFont val="Segoe UI Emoji"/>
        <family val="2"/>
      </rPr>
      <t>😂</t>
    </r>
  </si>
  <si>
    <t>El precio de las cosas</t>
  </si>
  <si>
    <t>El trabajo que tiene</t>
  </si>
  <si>
    <t>El gimnasio</t>
  </si>
  <si>
    <r>
      <t xml:space="preserve">Los problemas amorosos </t>
    </r>
    <r>
      <rPr>
        <sz val="12"/>
        <color theme="1"/>
        <rFont val="Segoe UI Emoji"/>
        <family val="2"/>
      </rPr>
      <t>😭</t>
    </r>
  </si>
  <si>
    <t>El frío/calor</t>
  </si>
  <si>
    <t>algo que uno hace para intentar ahorrar plata</t>
  </si>
  <si>
    <t>Cocinar en casa</t>
  </si>
  <si>
    <t>No salir</t>
  </si>
  <si>
    <t>Buscar descuentos</t>
  </si>
  <si>
    <t>Cancelar suscripciones</t>
  </si>
  <si>
    <r>
      <t xml:space="preserve">Llevar almuerzo </t>
    </r>
    <r>
      <rPr>
        <sz val="12"/>
        <color theme="1"/>
        <rFont val="Segoe UI Emoji"/>
        <family val="2"/>
      </rPr>
      <t>😂</t>
    </r>
  </si>
  <si>
    <t>Caminar/transporte público</t>
  </si>
  <si>
    <r>
      <t xml:space="preserve">Ignorar antojos </t>
    </r>
    <r>
      <rPr>
        <sz val="12"/>
        <color theme="1"/>
        <rFont val="Segoe UI Emoji"/>
        <family val="2"/>
      </rPr>
      <t>😭</t>
    </r>
  </si>
  <si>
    <t>algo que inmediatamente hace sospechar que algo salió mal</t>
  </si>
  <si>
    <t>“Necesitamos hablar”</t>
  </si>
  <si>
    <t>Silencio raro del jefe</t>
  </si>
  <si>
    <t>Reunión inesperada</t>
  </si>
  <si>
    <t>Correo con mucha gente copiada</t>
  </si>
  <si>
    <r>
      <t xml:space="preserve">Mensaje fuera de horario </t>
    </r>
    <r>
      <rPr>
        <sz val="12"/>
        <color theme="1"/>
        <rFont val="Segoe UI Emoji"/>
        <family val="2"/>
      </rPr>
      <t>😂</t>
    </r>
  </si>
  <si>
    <t>“¿Quién hizo esto?”</t>
  </si>
  <si>
    <r>
      <t xml:space="preserve">Llamada directa </t>
    </r>
    <r>
      <rPr>
        <sz val="12"/>
        <color theme="1"/>
        <rFont val="Segoe UI Emoji"/>
        <family val="2"/>
      </rPr>
      <t>😭</t>
    </r>
  </si>
  <si>
    <t>algo que la gente hace para parecer inteligente</t>
  </si>
  <si>
    <t>Usar palabras difíciles</t>
  </si>
  <si>
    <t>Hablar de inversiones</t>
  </si>
  <si>
    <t>Usar términos técnicos</t>
  </si>
  <si>
    <r>
      <t xml:space="preserve">Hablar de libros </t>
    </r>
    <r>
      <rPr>
        <sz val="12"/>
        <color theme="1"/>
        <rFont val="Segoe UI Emoji"/>
        <family val="2"/>
      </rPr>
      <t>😂</t>
    </r>
  </si>
  <si>
    <t>Corregir a otros</t>
  </si>
  <si>
    <r>
      <t xml:space="preserve">Usar Excel avanzado </t>
    </r>
    <r>
      <rPr>
        <sz val="12"/>
        <color theme="1"/>
        <rFont val="Segoe UI Emoji"/>
        <family val="2"/>
      </rPr>
      <t>😭</t>
    </r>
  </si>
  <si>
    <t>algo que uno nunca responde honestamente</t>
  </si>
  <si>
    <t>“¿Cómo estás?”</t>
  </si>
  <si>
    <t>“¿Ya vienes?”</t>
  </si>
  <si>
    <t>“¿Leíste el correo?”</t>
  </si>
  <si>
    <t>“¿Cuánto ganas?”</t>
  </si>
  <si>
    <r>
      <t xml:space="preserve">“¿Sí entendiste?” </t>
    </r>
    <r>
      <rPr>
        <sz val="12"/>
        <color theme="1"/>
        <rFont val="Segoe UI Emoji"/>
        <family val="2"/>
      </rPr>
      <t>😂</t>
    </r>
  </si>
  <si>
    <t>“¿Cuánto gastaste?”</t>
  </si>
  <si>
    <r>
      <t xml:space="preserve">“¿Dormiste bien?” </t>
    </r>
    <r>
      <rPr>
        <sz val="12"/>
        <color theme="1"/>
        <rFont val="Segoe UI Emoji"/>
        <family val="2"/>
      </rPr>
      <t>😭</t>
    </r>
  </si>
  <si>
    <t>algo que hace sentir que el día ya se dañó</t>
  </si>
  <si>
    <t>Despertarse tarde</t>
  </si>
  <si>
    <t>Derramar algo</t>
  </si>
  <si>
    <t>Internet caído</t>
  </si>
  <si>
    <t>Mucho tráfico</t>
  </si>
  <si>
    <r>
      <t xml:space="preserve">Malas noticias del banco </t>
    </r>
    <r>
      <rPr>
        <sz val="12"/>
        <color theme="1"/>
        <rFont val="Segoe UI Emoji"/>
        <family val="2"/>
      </rPr>
      <t>😂</t>
    </r>
  </si>
  <si>
    <t>Llegar tarde</t>
  </si>
  <si>
    <r>
      <t xml:space="preserve">Olvidar algo importante </t>
    </r>
    <r>
      <rPr>
        <sz val="12"/>
        <color theme="1"/>
        <rFont val="Segoe UI Emoji"/>
        <family val="2"/>
      </rPr>
      <t>😭</t>
    </r>
  </si>
  <si>
    <t>algo que uno hace solo cuando hay visitas</t>
  </si>
  <si>
    <r>
      <t xml:space="preserve">Limpiar </t>
    </r>
    <r>
      <rPr>
        <sz val="12"/>
        <color theme="1"/>
        <rFont val="Segoe UI Emoji"/>
        <family val="2"/>
      </rPr>
      <t>😂</t>
    </r>
  </si>
  <si>
    <t>Ordenar la casa</t>
  </si>
  <si>
    <t>Sacar la mejor vajilla</t>
  </si>
  <si>
    <t>Comprar comida</t>
  </si>
  <si>
    <t>Esconder cosas</t>
  </si>
  <si>
    <r>
      <t xml:space="preserve">Actuar elegante </t>
    </r>
    <r>
      <rPr>
        <sz val="12"/>
        <color theme="1"/>
        <rFont val="Segoe UI Emoji"/>
        <family val="2"/>
      </rPr>
      <t>😭</t>
    </r>
  </si>
  <si>
    <t>Poner música</t>
  </si>
  <si>
    <t>algo que uno cree que controla, pero realmente no</t>
  </si>
  <si>
    <t>Gastos</t>
  </si>
  <si>
    <t>Tiempo</t>
  </si>
  <si>
    <t>Estrés</t>
  </si>
  <si>
    <t>Sueño</t>
  </si>
  <si>
    <r>
      <t xml:space="preserve">Peso </t>
    </r>
    <r>
      <rPr>
        <sz val="12"/>
        <color theme="1"/>
        <rFont val="Segoe UI Emoji"/>
        <family val="2"/>
      </rPr>
      <t>😂</t>
    </r>
  </si>
  <si>
    <t>Celular/redes sociales</t>
  </si>
  <si>
    <r>
      <t xml:space="preserve">Carácter </t>
    </r>
    <r>
      <rPr>
        <sz val="12"/>
        <color theme="1"/>
        <rFont val="Segoe UI Emoji"/>
        <family val="2"/>
      </rPr>
      <t>😭</t>
    </r>
  </si>
  <si>
    <t>algo que uno hace cuando quiere evitar una conversación</t>
  </si>
  <si>
    <t>Mirar el celular</t>
  </si>
  <si>
    <t>Fingir estar ocupado</t>
  </si>
  <si>
    <r>
      <t xml:space="preserve">Ir al baño </t>
    </r>
    <r>
      <rPr>
        <sz val="12"/>
        <color theme="1"/>
        <rFont val="Segoe UI Emoji"/>
        <family val="2"/>
      </rPr>
      <t>😂</t>
    </r>
  </si>
  <si>
    <t>Responder cortante</t>
  </si>
  <si>
    <t>Cambiar de tema</t>
  </si>
  <si>
    <t>Ponerse audífonos</t>
  </si>
  <si>
    <r>
      <t xml:space="preserve">Hacerse el dormido </t>
    </r>
    <r>
      <rPr>
        <sz val="12"/>
        <color theme="1"/>
        <rFont val="Segoe UI Emoji"/>
        <family val="2"/>
      </rPr>
      <t>😭</t>
    </r>
  </si>
  <si>
    <t>algo que parece una buena idea hasta que toca hacerlo</t>
  </si>
  <si>
    <t>Mudarse</t>
  </si>
  <si>
    <t>Emprender</t>
  </si>
  <si>
    <r>
      <t xml:space="preserve">Viajar barato </t>
    </r>
    <r>
      <rPr>
        <sz val="12"/>
        <color theme="1"/>
        <rFont val="Segoe UI Emoji"/>
        <family val="2"/>
      </rPr>
      <t>😂</t>
    </r>
  </si>
  <si>
    <t>Organizar eventos</t>
  </si>
  <si>
    <t>Compartir apartamento</t>
  </si>
  <si>
    <t>Cocinar toda la semana</t>
  </si>
  <si>
    <r>
      <t xml:space="preserve">Trabajar desde casa </t>
    </r>
    <r>
      <rPr>
        <sz val="12"/>
        <color theme="1"/>
        <rFont val="Segoe UI Emoji"/>
        <family val="2"/>
      </rPr>
      <t>😭</t>
    </r>
  </si>
  <si>
    <t>algo que la gente hace cuando nadie la está viendo</t>
  </si>
  <si>
    <t>Hablar sola</t>
  </si>
  <si>
    <t>Revisarse al espejo</t>
  </si>
  <si>
    <r>
      <t xml:space="preserve">Actuar como influencer </t>
    </r>
    <r>
      <rPr>
        <sz val="12"/>
        <color theme="1"/>
        <rFont val="Segoe UI Emoji"/>
        <family val="2"/>
      </rPr>
      <t>😭</t>
    </r>
  </si>
  <si>
    <t>algo que uno piensa justo antes de tomar una mala decisión</t>
  </si>
  <si>
    <t>“Una vez no hace daño”</t>
  </si>
  <si>
    <t>“¿Qué podría salir mal?”</t>
  </si>
  <si>
    <t>“Después miro eso”</t>
  </si>
  <si>
    <r>
      <t xml:space="preserve">“Me lo merezco” </t>
    </r>
    <r>
      <rPr>
        <sz val="12"/>
        <color theme="1"/>
        <rFont val="Segoe UI Emoji"/>
        <family val="2"/>
      </rPr>
      <t>😂</t>
    </r>
  </si>
  <si>
    <t>“Nadie se va a dar cuenta”</t>
  </si>
  <si>
    <t>“Seguro sale bien”</t>
  </si>
  <si>
    <r>
      <t xml:space="preserve">“Mañana arreglo eso </t>
    </r>
    <r>
      <rPr>
        <sz val="12"/>
        <color theme="1"/>
        <rFont val="Segoe UI Emoji"/>
        <family val="2"/>
      </rPr>
      <t>😭</t>
    </r>
    <r>
      <rPr>
        <sz val="12"/>
        <color theme="1"/>
        <rFont val="Aptos"/>
        <family val="2"/>
      </rPr>
      <t>”</t>
    </r>
  </si>
  <si>
    <t>Un dibujo que se puede encontrar en los calzoncillos de los hombres</t>
  </si>
  <si>
    <t>Personajes de Caricatura</t>
  </si>
  <si>
    <t>Animales</t>
  </si>
  <si>
    <t>Carita Feliz</t>
  </si>
  <si>
    <t>Figuras Geometricas</t>
  </si>
  <si>
    <t>Corazones</t>
  </si>
  <si>
    <t>Bananos</t>
  </si>
  <si>
    <t>Medida de seguridad que debes revisar en un viaje por carretera</t>
  </si>
  <si>
    <t>Llantas</t>
  </si>
  <si>
    <t>Cinturón de Seguridad</t>
  </si>
  <si>
    <t>Aceite del motor</t>
  </si>
  <si>
    <t>La gasolina</t>
  </si>
  <si>
    <t>Frenos</t>
  </si>
  <si>
    <t>Bajar de peso, dieta</t>
  </si>
  <si>
    <t>Tener buena salud</t>
  </si>
  <si>
    <t>Superstición o costumbres que haces en año nuevo</t>
  </si>
  <si>
    <t>Comer 12 uvas</t>
  </si>
  <si>
    <t>Caminar con una maleta</t>
  </si>
  <si>
    <t>Meterte debajo de la mesa</t>
  </si>
  <si>
    <t>Aventar lentejas</t>
  </si>
  <si>
    <t>Abrazos</t>
  </si>
  <si>
    <t>Calzones de colores</t>
  </si>
  <si>
    <t>Tarea domestica que un hijo no le gusta hacer</t>
  </si>
  <si>
    <t>Lavar Trastes</t>
  </si>
  <si>
    <t>Lavar el baño</t>
  </si>
  <si>
    <t>Barrer</t>
  </si>
  <si>
    <t>Trapear</t>
  </si>
  <si>
    <t>Tirar la basura</t>
  </si>
  <si>
    <t>Que come un oriental además de arroz</t>
  </si>
  <si>
    <t>Raices Chinas</t>
  </si>
  <si>
    <t>Pescados</t>
  </si>
  <si>
    <t>Ratones</t>
  </si>
  <si>
    <t>Culebras</t>
  </si>
  <si>
    <t>Gusanos</t>
  </si>
  <si>
    <t>Mariscos</t>
  </si>
  <si>
    <t>Que no debe faltar en una boda</t>
  </si>
  <si>
    <t>Los novios</t>
  </si>
  <si>
    <t>Grupo musical, música</t>
  </si>
  <si>
    <t>Bebidas alcohólicas</t>
  </si>
  <si>
    <t>Baile, vals</t>
  </si>
  <si>
    <t>Comida</t>
  </si>
  <si>
    <t>Un terreno muy dificil de transitar</t>
  </si>
  <si>
    <t>Fangoso</t>
  </si>
  <si>
    <t>Empedrado</t>
  </si>
  <si>
    <t>Arenoso</t>
  </si>
  <si>
    <t>Montañoso</t>
  </si>
  <si>
    <t>Pantanoso</t>
  </si>
  <si>
    <t>Parte del cuerpo que más ejercitas en un gimnasio</t>
  </si>
  <si>
    <t>Piernas</t>
  </si>
  <si>
    <t>Brazos, biceps</t>
  </si>
  <si>
    <t>Abdomen</t>
  </si>
  <si>
    <t>Gluteos, nalgas</t>
  </si>
  <si>
    <t>Qué accesorio debe llevar una novia el día de su boda</t>
  </si>
  <si>
    <t>El velo</t>
  </si>
  <si>
    <t>El ramo</t>
  </si>
  <si>
    <t>Liguero, liga</t>
  </si>
  <si>
    <t>Aretes</t>
  </si>
  <si>
    <t>Algo azul</t>
  </si>
  <si>
    <t>El vestido</t>
  </si>
  <si>
    <t>Elemento que forma parte de una oficina</t>
  </si>
  <si>
    <t>El escritorio</t>
  </si>
  <si>
    <t>Computadores</t>
  </si>
  <si>
    <t>Sillas</t>
  </si>
  <si>
    <t>Telefono</t>
  </si>
  <si>
    <t>Qué haces cuando un perro te está ladrando y te quiere morder</t>
  </si>
  <si>
    <t>Levanto la piedra invisible</t>
  </si>
  <si>
    <t>Gritarle, espantarlo</t>
  </si>
  <si>
    <t>Correr</t>
  </si>
  <si>
    <t>Quedarse quieto</t>
  </si>
  <si>
    <t>Qué hace la gente cuando está despechada</t>
  </si>
  <si>
    <t>Tomar trago</t>
  </si>
  <si>
    <t>Llorar</t>
  </si>
  <si>
    <t>Esuchar música</t>
  </si>
  <si>
    <t>Juego favorito de la infancia donde participaban más de 2 niños</t>
  </si>
  <si>
    <t>Las encondidas</t>
  </si>
  <si>
    <t>Futbol, a la pelota</t>
  </si>
  <si>
    <t>Canicas</t>
  </si>
  <si>
    <t>La lleva</t>
  </si>
  <si>
    <t>Menciona algo que tienes en la entrada de tu casa</t>
  </si>
  <si>
    <t>Plantas</t>
  </si>
  <si>
    <t>Tapete, alfombra</t>
  </si>
  <si>
    <t>Puerta, portón</t>
  </si>
  <si>
    <t>Llavero</t>
  </si>
  <si>
    <t>Causa por la que te sales de un grupo de whatsapp</t>
  </si>
  <si>
    <t>Enfado, enojo, aburren</t>
  </si>
  <si>
    <t>Mandan muchos mensajes</t>
  </si>
  <si>
    <t>No me interesa, falta de uso</t>
  </si>
  <si>
    <t>Comentan tonterías</t>
  </si>
  <si>
    <t>Si la naturaleza cumpliera caprichos, de qué color le gustaría que fueran las vacas</t>
  </si>
  <si>
    <t>Azules</t>
  </si>
  <si>
    <t>Blancas</t>
  </si>
  <si>
    <t>Verdes</t>
  </si>
  <si>
    <t>Rojas</t>
  </si>
  <si>
    <t>Rosadas</t>
  </si>
  <si>
    <t>Amarillas</t>
  </si>
  <si>
    <t>Moradas</t>
  </si>
  <si>
    <t>Aparte de Netflix, ¿en qué plataforma miras películas?</t>
  </si>
  <si>
    <t>Disney</t>
  </si>
  <si>
    <t>Amazon Prime</t>
  </si>
  <si>
    <t>HBO</t>
  </si>
  <si>
    <t>Youtube</t>
  </si>
  <si>
    <t>Además de jamón, mencione un ingrediente del sandwich</t>
  </si>
  <si>
    <t>Queso</t>
  </si>
  <si>
    <t>Mortadela</t>
  </si>
  <si>
    <t>Lechuga</t>
  </si>
  <si>
    <t>Pollo</t>
  </si>
  <si>
    <t>Tomate</t>
  </si>
  <si>
    <t>Aparte de la manzana menciona una fruta color rojo</t>
  </si>
  <si>
    <t>Fresa</t>
  </si>
  <si>
    <t>Cereza</t>
  </si>
  <si>
    <t>Ciruela</t>
  </si>
  <si>
    <t>Granada</t>
  </si>
  <si>
    <t>Menciona algo que no debes olvidar cuando vas a la playa</t>
  </si>
  <si>
    <t>Blanqueador</t>
  </si>
  <si>
    <t>Sombrilla</t>
  </si>
  <si>
    <t>Toalla</t>
  </si>
  <si>
    <t>Traje de baño</t>
  </si>
  <si>
    <t>Cerveza, Alcohol</t>
  </si>
  <si>
    <t>Hielera</t>
  </si>
  <si>
    <t>Encendedor</t>
  </si>
  <si>
    <t>Objeto más común que encuentras en un baño</t>
  </si>
  <si>
    <t>Papel Higienico</t>
  </si>
  <si>
    <t>Jabón</t>
  </si>
  <si>
    <t>Champú</t>
  </si>
  <si>
    <t>Retrete, taza de baño</t>
  </si>
  <si>
    <t>Cesto de papeles, basura, papelera</t>
  </si>
  <si>
    <t>Cepillo del baño (Rastrillo)</t>
  </si>
  <si>
    <t>Cepillo de dientes</t>
  </si>
  <si>
    <t>Cómo te entretienes cuando estas en un trancón</t>
  </si>
  <si>
    <t>En el celular, redes sociales, tiktok, etc</t>
  </si>
  <si>
    <t>Escuchando música</t>
  </si>
  <si>
    <t>Cantando</t>
  </si>
  <si>
    <t>Platicando</t>
  </si>
  <si>
    <t>Pretexto que usas cuando llegas tarde a tu casa</t>
  </si>
  <si>
    <t>Había trancón</t>
  </si>
  <si>
    <t>Tenía mucho trabajo</t>
  </si>
  <si>
    <t>Me quede echando chachara</t>
  </si>
  <si>
    <t>No vi la hora</t>
  </si>
  <si>
    <t>Se pinchó el carro</t>
  </si>
  <si>
    <t>Menciona algo que comúnmente haces cuando está lloviendo</t>
  </si>
  <si>
    <t>Comer, comer pan</t>
  </si>
  <si>
    <t>Tomar café</t>
  </si>
  <si>
    <t>Dormir, acostarse</t>
  </si>
  <si>
    <t>Meter cosas para que no se mojen</t>
  </si>
  <si>
    <t>Ver TV</t>
  </si>
  <si>
    <t>En dónde metes los dulces que recoges de la piñata</t>
  </si>
  <si>
    <t>El sombrero de la fiesta</t>
  </si>
  <si>
    <t>Bolsa de plástico</t>
  </si>
  <si>
    <t>Pantalón, bolsa del pantalón</t>
  </si>
  <si>
    <t>El bolso de la mamá</t>
  </si>
  <si>
    <t>Prenda de vestir que más compran las mujeres</t>
  </si>
  <si>
    <t>Blusa</t>
  </si>
  <si>
    <t>Vestidos</t>
  </si>
  <si>
    <t>Pantalones</t>
  </si>
  <si>
    <t>Zapatos</t>
  </si>
  <si>
    <t>Ropa interior, calzones</t>
  </si>
  <si>
    <t>Menciona una fruta amarilla</t>
  </si>
  <si>
    <t>Banano, platano</t>
  </si>
  <si>
    <t>Mango</t>
  </si>
  <si>
    <t>Piña</t>
  </si>
  <si>
    <t>Limón, lima</t>
  </si>
  <si>
    <t>Guayaba</t>
  </si>
  <si>
    <t>Qué accesorio poner en el retrovisor del coche</t>
  </si>
  <si>
    <t>Aromatizante</t>
  </si>
  <si>
    <t>Rosario</t>
  </si>
  <si>
    <t>Peluche</t>
  </si>
  <si>
    <t>Zapatico de bebé</t>
  </si>
  <si>
    <t>Atrapasueños</t>
  </si>
  <si>
    <t>Además de la cartera, ¿dónde más guardas dinero?</t>
  </si>
  <si>
    <t>Bolsillo del pantalón, pantalón</t>
  </si>
  <si>
    <t>Banco</t>
  </si>
  <si>
    <t>En un cajón</t>
  </si>
  <si>
    <t>Funda del celular</t>
  </si>
  <si>
    <t>Debajo del colchón</t>
  </si>
  <si>
    <t>#</t>
  </si>
  <si>
    <t>Canciones</t>
  </si>
  <si>
    <t>Artista</t>
  </si>
  <si>
    <t>Atrévete-te-te</t>
  </si>
  <si>
    <t>Calle 13</t>
  </si>
  <si>
    <t xml:space="preserve">El ultimo beso </t>
  </si>
  <si>
    <t>Alci Acosta</t>
  </si>
  <si>
    <t>Tu eres la reina</t>
  </si>
  <si>
    <t>Diomedez</t>
  </si>
  <si>
    <t>Amarte mas no pude</t>
  </si>
  <si>
    <t>Sin medir distancias</t>
  </si>
  <si>
    <t>Ay Mi Llanura</t>
  </si>
  <si>
    <t>Arnulfo Briceño</t>
  </si>
  <si>
    <t>La venia bendita</t>
  </si>
  <si>
    <t>Marco Antonio</t>
  </si>
  <si>
    <t>Amores como el nuestro</t>
  </si>
  <si>
    <t>Jerry Rivera</t>
  </si>
  <si>
    <t>Se siente bien</t>
  </si>
  <si>
    <t>Dragón y Caballero</t>
  </si>
  <si>
    <t>Juego de Niños</t>
  </si>
  <si>
    <t>Golpe a Golpe</t>
  </si>
  <si>
    <t>Tranquila</t>
  </si>
  <si>
    <t>J Balvin</t>
  </si>
  <si>
    <t>Pasarela</t>
  </si>
  <si>
    <t>Dalmata</t>
  </si>
  <si>
    <t>Tu Amor me hace bien</t>
  </si>
  <si>
    <t>MArc nthony</t>
  </si>
  <si>
    <t>Ya no es igual</t>
  </si>
  <si>
    <t>Two Flow</t>
  </si>
  <si>
    <t>Gotas de lluvia</t>
  </si>
  <si>
    <t>Niche</t>
  </si>
  <si>
    <t>Sin compromiso</t>
  </si>
  <si>
    <t>Me falla</t>
  </si>
  <si>
    <t>Juancho Style</t>
  </si>
  <si>
    <t>Pam Pam</t>
  </si>
  <si>
    <t>Wisin y Yandel</t>
  </si>
  <si>
    <t>La Cartera</t>
  </si>
  <si>
    <t>Carlos Vives</t>
  </si>
  <si>
    <t>Uptown funk</t>
  </si>
  <si>
    <t>Bruno Mars</t>
  </si>
  <si>
    <t>Te pintaron pajaritos</t>
  </si>
  <si>
    <t>Yandar y Yostin, Andy Rivera</t>
  </si>
  <si>
    <t>La grua</t>
  </si>
  <si>
    <t>Twister</t>
  </si>
  <si>
    <t>La invité a Bailar</t>
  </si>
  <si>
    <t>Kevin Florez</t>
  </si>
  <si>
    <t>Te gateo</t>
  </si>
  <si>
    <t>Reykon, Pipe Calderon</t>
  </si>
  <si>
    <t>Ana Mile</t>
  </si>
  <si>
    <t>El Gato Volador</t>
  </si>
  <si>
    <t>Chombo</t>
  </si>
  <si>
    <t>El Tambor</t>
  </si>
  <si>
    <t>Koffe</t>
  </si>
  <si>
    <t>Dile</t>
  </si>
  <si>
    <t>Don Omar</t>
  </si>
  <si>
    <t>Just Dance</t>
  </si>
  <si>
    <t>Lady Gaga</t>
  </si>
  <si>
    <t>Pa que retozen</t>
  </si>
  <si>
    <t>Tego Calderón</t>
  </si>
  <si>
    <t>Como abeja al panal</t>
  </si>
  <si>
    <t>Juan Luis Guerra</t>
  </si>
  <si>
    <t>Lo grande que es perdonar</t>
  </si>
  <si>
    <t>Vico C</t>
  </si>
  <si>
    <t>La Sincelejana</t>
  </si>
  <si>
    <t>Peter Manjarrez</t>
  </si>
  <si>
    <t>Una Lady Como tú</t>
  </si>
  <si>
    <t>Manuel Turizo</t>
  </si>
  <si>
    <t>Sigue bailando mi amor</t>
  </si>
  <si>
    <t>El Roockie</t>
  </si>
  <si>
    <t>Amor a primera vista</t>
  </si>
  <si>
    <t>La Pupileta</t>
  </si>
  <si>
    <t>Bazurto</t>
  </si>
  <si>
    <t>Pa' que la pases bien</t>
  </si>
  <si>
    <t>Arcangel</t>
  </si>
  <si>
    <t>Los malaventurados no lloran</t>
  </si>
  <si>
    <t>Panda</t>
  </si>
  <si>
    <t>La Fuga</t>
  </si>
  <si>
    <t>Jiggy Drama</t>
  </si>
  <si>
    <t>Ras tas tas</t>
  </si>
  <si>
    <t>Cali Flow</t>
  </si>
  <si>
    <t>El Doctorado</t>
  </si>
  <si>
    <t>Tony Dize</t>
  </si>
  <si>
    <t xml:space="preserve">Narcisista por excelencia </t>
  </si>
  <si>
    <t>Cada que</t>
  </si>
  <si>
    <t>Belanova</t>
  </si>
  <si>
    <t>Pose</t>
  </si>
  <si>
    <t>Daddy Yankee</t>
  </si>
  <si>
    <t>Sálvame</t>
  </si>
  <si>
    <t>RBD</t>
  </si>
  <si>
    <t>Perdóname</t>
  </si>
  <si>
    <t>La Factoria</t>
  </si>
  <si>
    <t>Busco alguien que me quiera</t>
  </si>
  <si>
    <t>El Afinaito</t>
  </si>
  <si>
    <t>Todavía</t>
  </si>
  <si>
    <t>Besos Mojados</t>
  </si>
  <si>
    <t>Score</t>
  </si>
  <si>
    <t>Nico Dev</t>
  </si>
  <si>
    <t>Nico Con</t>
  </si>
  <si>
    <t xml:space="preserve">_ _ _ _  _ _  _ _ 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</si>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</sst>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Segoe UI Emoji"/>
      <family val="2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Segoe UI Emoji"/>
      <family val="2"/>
    </font>
    <font>
      <b/>
      <sz val="12"/>
      <color theme="1"/>
      <name val="Segoe UI Symbo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2"/>
      <color theme="1"/>
      <name val="Aptos Narrow"/>
      <scheme val="minor"/>
    </font>
    <font>
      <sz val="12"/>
      <color rgb="FF000000"/>
      <name val="Segoe UI Emoji"/>
    </font>
    <font>
      <sz val="12"/>
      <color rgb="FF000000"/>
      <name val="Aptos"/>
    </font>
    <font>
      <sz val="12"/>
      <color rgb="FF000000"/>
      <name val="Segoe UI Emoj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0" xfId="0" applyFont="1"/>
    <xf numFmtId="1" fontId="0" fillId="0" borderId="0" xfId="0" applyNumberFormat="1"/>
    <xf numFmtId="1" fontId="1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1" fontId="1" fillId="3" borderId="0" xfId="0" applyNumberFormat="1" applyFont="1" applyFill="1" applyAlignment="1">
      <alignment vertical="center" wrapText="1"/>
    </xf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0" xfId="0" applyFill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7" borderId="0" xfId="0" applyFill="1"/>
    <xf numFmtId="9" fontId="0" fillId="0" borderId="0" xfId="1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14" fillId="0" borderId="0" xfId="0" applyFont="1" applyAlignment="1">
      <alignment vertical="center" wrapText="1"/>
    </xf>
    <xf numFmtId="0" fontId="4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5055-F78C-4AF8-BA19-5B97FAD9FD6B}">
  <dimension ref="C1:S116"/>
  <sheetViews>
    <sheetView showGridLines="0" topLeftCell="A64" workbookViewId="0">
      <selection activeCell="F23" sqref="F23"/>
    </sheetView>
  </sheetViews>
  <sheetFormatPr defaultRowHeight="14.45"/>
  <cols>
    <col min="1" max="1" width="6" customWidth="1"/>
    <col min="2" max="2" width="8.42578125" customWidth="1"/>
    <col min="3" max="3" width="43.7109375" bestFit="1" customWidth="1"/>
    <col min="7" max="7" width="10.42578125" bestFit="1" customWidth="1"/>
    <col min="8" max="8" width="5.140625" customWidth="1"/>
    <col min="9" max="9" width="9.85546875" customWidth="1"/>
    <col min="10" max="10" width="5.140625" customWidth="1"/>
    <col min="11" max="11" width="9.5703125" bestFit="1" customWidth="1"/>
    <col min="12" max="12" width="5.140625" customWidth="1"/>
    <col min="13" max="13" width="9.85546875" bestFit="1" customWidth="1"/>
    <col min="17" max="17" width="10.42578125" bestFit="1" customWidth="1"/>
  </cols>
  <sheetData>
    <row r="1" spans="3:13">
      <c r="C1" s="31" t="s">
        <v>0</v>
      </c>
      <c r="D1" s="31"/>
      <c r="E1" s="31"/>
      <c r="G1" s="5" t="s">
        <v>1</v>
      </c>
      <c r="I1" s="5" t="s">
        <v>2</v>
      </c>
    </row>
    <row r="2" spans="3:13">
      <c r="G2" s="24" t="s">
        <v>3</v>
      </c>
      <c r="I2" s="15" t="s">
        <v>4</v>
      </c>
    </row>
    <row r="3" spans="3:13" ht="15.95">
      <c r="C3" s="6" t="s">
        <v>5</v>
      </c>
      <c r="G3" s="24" t="s">
        <v>6</v>
      </c>
      <c r="I3" s="15" t="s">
        <v>7</v>
      </c>
    </row>
    <row r="4" spans="3:13">
      <c r="C4" t="s">
        <v>8</v>
      </c>
      <c r="G4" s="24" t="s">
        <v>9</v>
      </c>
      <c r="I4" s="15" t="s">
        <v>10</v>
      </c>
    </row>
    <row r="5" spans="3:13">
      <c r="C5" t="s">
        <v>11</v>
      </c>
    </row>
    <row r="6" spans="3:13">
      <c r="C6" t="s">
        <v>12</v>
      </c>
      <c r="G6" s="5" t="s">
        <v>13</v>
      </c>
      <c r="H6" s="5"/>
      <c r="I6" s="5" t="s">
        <v>14</v>
      </c>
      <c r="J6" s="5"/>
      <c r="K6" s="5" t="s">
        <v>15</v>
      </c>
      <c r="L6" s="5"/>
      <c r="M6" s="5" t="s">
        <v>16</v>
      </c>
    </row>
    <row r="7" spans="3:13">
      <c r="G7" s="14" t="s">
        <v>17</v>
      </c>
      <c r="I7" s="14" t="s">
        <v>18</v>
      </c>
      <c r="K7" s="14" t="s">
        <v>19</v>
      </c>
      <c r="M7" s="14" t="s">
        <v>20</v>
      </c>
    </row>
    <row r="8" spans="3:13">
      <c r="G8" s="14" t="s">
        <v>21</v>
      </c>
      <c r="I8" s="14" t="s">
        <v>22</v>
      </c>
      <c r="K8" s="14" t="s">
        <v>23</v>
      </c>
      <c r="M8" s="15" t="s">
        <v>24</v>
      </c>
    </row>
    <row r="9" spans="3:13">
      <c r="G9" s="15" t="s">
        <v>25</v>
      </c>
      <c r="I9" s="15" t="s">
        <v>26</v>
      </c>
      <c r="K9" s="15" t="s">
        <v>27</v>
      </c>
      <c r="M9" s="15" t="s">
        <v>28</v>
      </c>
    </row>
    <row r="10" spans="3:13" ht="15.95">
      <c r="C10" s="3" t="s">
        <v>29</v>
      </c>
      <c r="G10" s="16" t="s">
        <v>30</v>
      </c>
      <c r="I10" s="15" t="s">
        <v>31</v>
      </c>
      <c r="K10" s="15" t="s">
        <v>32</v>
      </c>
      <c r="M10" s="16" t="s">
        <v>33</v>
      </c>
    </row>
    <row r="11" spans="3:13" ht="17.45">
      <c r="C11" s="20" t="s">
        <v>34</v>
      </c>
      <c r="G11" s="16" t="s">
        <v>35</v>
      </c>
      <c r="I11" s="16" t="s">
        <v>36</v>
      </c>
      <c r="K11" s="16" t="s">
        <v>37</v>
      </c>
      <c r="M11" s="16" t="s">
        <v>38</v>
      </c>
    </row>
    <row r="12" spans="3:13" ht="17.45">
      <c r="C12" s="20" t="s">
        <v>39</v>
      </c>
      <c r="G12" s="18" t="s">
        <v>40</v>
      </c>
      <c r="I12" s="16" t="s">
        <v>41</v>
      </c>
      <c r="K12" s="16" t="s">
        <v>42</v>
      </c>
      <c r="M12" s="18" t="s">
        <v>43</v>
      </c>
    </row>
    <row r="13" spans="3:13" ht="17.45">
      <c r="C13" s="20" t="s">
        <v>44</v>
      </c>
      <c r="G13" s="18" t="s">
        <v>45</v>
      </c>
      <c r="I13" s="18" t="s">
        <v>46</v>
      </c>
      <c r="K13" s="18" t="s">
        <v>47</v>
      </c>
      <c r="M13" s="18" t="s">
        <v>48</v>
      </c>
    </row>
    <row r="14" spans="3:13">
      <c r="G14" s="18" t="s">
        <v>49</v>
      </c>
      <c r="I14" s="18" t="s">
        <v>50</v>
      </c>
      <c r="K14" s="18" t="s">
        <v>51</v>
      </c>
      <c r="M14" s="18" t="s">
        <v>52</v>
      </c>
    </row>
    <row r="15" spans="3:13">
      <c r="G15" s="17" t="s">
        <v>53</v>
      </c>
    </row>
    <row r="17" spans="3:19" ht="15.95">
      <c r="C17" s="1" t="s">
        <v>54</v>
      </c>
      <c r="D17" s="27" t="s">
        <v>55</v>
      </c>
      <c r="E17" s="26" t="s">
        <v>56</v>
      </c>
      <c r="F17" s="26" t="s">
        <v>57</v>
      </c>
    </row>
    <row r="18" spans="3:19" ht="17.45">
      <c r="C18" s="21" t="s">
        <v>58</v>
      </c>
      <c r="D18" s="28">
        <v>10</v>
      </c>
      <c r="E18" s="29">
        <v>7</v>
      </c>
      <c r="F18" s="29">
        <v>10</v>
      </c>
      <c r="L18">
        <v>180</v>
      </c>
      <c r="M18">
        <v>60</v>
      </c>
      <c r="N18" s="25">
        <f>+M18/L18</f>
        <v>0.33333333333333331</v>
      </c>
      <c r="P18" s="7">
        <v>10</v>
      </c>
      <c r="Q18" s="7">
        <f>+P18*$N$18</f>
        <v>3.333333333333333</v>
      </c>
      <c r="R18" s="7">
        <f>+ROUND(Q18,0)</f>
        <v>3</v>
      </c>
      <c r="S18" s="7">
        <f>+P18-R18</f>
        <v>7</v>
      </c>
    </row>
    <row r="19" spans="3:19" ht="17.45">
      <c r="C19" s="21" t="s">
        <v>59</v>
      </c>
      <c r="D19" s="28">
        <v>10</v>
      </c>
      <c r="E19" s="29">
        <v>7</v>
      </c>
      <c r="F19" s="29">
        <v>10</v>
      </c>
      <c r="G19" t="s">
        <v>60</v>
      </c>
      <c r="P19" s="7">
        <v>10</v>
      </c>
      <c r="Q19" s="7">
        <f t="shared" ref="Q19:Q26" si="0">+P19*$N$18</f>
        <v>3.333333333333333</v>
      </c>
      <c r="R19" s="7">
        <f t="shared" ref="R19:R26" si="1">+ROUND(Q19,0)</f>
        <v>3</v>
      </c>
      <c r="S19" s="7">
        <f t="shared" ref="S19:S26" si="2">+P19-R19</f>
        <v>7</v>
      </c>
    </row>
    <row r="20" spans="3:19" ht="17.45">
      <c r="C20" s="21" t="s">
        <v>61</v>
      </c>
      <c r="D20" s="28">
        <v>35</v>
      </c>
      <c r="E20" s="29">
        <v>23</v>
      </c>
      <c r="F20" s="29">
        <v>20</v>
      </c>
      <c r="G20" t="s">
        <v>62</v>
      </c>
      <c r="P20" s="7">
        <v>35</v>
      </c>
      <c r="Q20" s="7">
        <f t="shared" si="0"/>
        <v>11.666666666666666</v>
      </c>
      <c r="R20" s="7">
        <f t="shared" si="1"/>
        <v>12</v>
      </c>
      <c r="S20" s="7">
        <f t="shared" si="2"/>
        <v>23</v>
      </c>
    </row>
    <row r="21" spans="3:19" ht="17.45">
      <c r="C21" s="21" t="s">
        <v>63</v>
      </c>
      <c r="D21" s="28">
        <v>10</v>
      </c>
      <c r="E21" s="29">
        <v>7</v>
      </c>
      <c r="F21" s="29">
        <v>10</v>
      </c>
      <c r="P21" s="7">
        <v>10</v>
      </c>
      <c r="Q21" s="7">
        <f t="shared" si="0"/>
        <v>3.333333333333333</v>
      </c>
      <c r="R21" s="7">
        <f t="shared" si="1"/>
        <v>3</v>
      </c>
      <c r="S21" s="7">
        <f t="shared" si="2"/>
        <v>7</v>
      </c>
    </row>
    <row r="22" spans="3:19" ht="17.45">
      <c r="C22" s="21" t="s">
        <v>64</v>
      </c>
      <c r="D22" s="28">
        <v>35</v>
      </c>
      <c r="E22" s="29">
        <v>23</v>
      </c>
      <c r="F22" s="29">
        <v>20</v>
      </c>
      <c r="G22" t="s">
        <v>65</v>
      </c>
      <c r="P22" s="7">
        <v>35</v>
      </c>
      <c r="Q22" s="7">
        <f t="shared" si="0"/>
        <v>11.666666666666666</v>
      </c>
      <c r="R22" s="7">
        <f t="shared" si="1"/>
        <v>12</v>
      </c>
      <c r="S22" s="7">
        <f t="shared" si="2"/>
        <v>23</v>
      </c>
    </row>
    <row r="23" spans="3:19" ht="17.45">
      <c r="C23" s="21" t="s">
        <v>66</v>
      </c>
      <c r="D23" s="28">
        <v>10</v>
      </c>
      <c r="E23" s="29">
        <v>7</v>
      </c>
      <c r="F23" s="29">
        <v>0</v>
      </c>
      <c r="P23" s="7">
        <v>10</v>
      </c>
      <c r="Q23" s="7">
        <f t="shared" si="0"/>
        <v>3.333333333333333</v>
      </c>
      <c r="R23" s="7">
        <f t="shared" si="1"/>
        <v>3</v>
      </c>
      <c r="S23" s="7">
        <f t="shared" si="2"/>
        <v>7</v>
      </c>
    </row>
    <row r="24" spans="3:19" ht="17.25">
      <c r="C24" s="30" t="s">
        <v>67</v>
      </c>
      <c r="D24" s="28">
        <v>10</v>
      </c>
      <c r="E24" s="29">
        <v>7</v>
      </c>
      <c r="F24" s="29">
        <v>10</v>
      </c>
      <c r="P24" s="7">
        <v>10</v>
      </c>
      <c r="Q24" s="7">
        <f t="shared" si="0"/>
        <v>3.333333333333333</v>
      </c>
      <c r="R24" s="7">
        <f t="shared" si="1"/>
        <v>3</v>
      </c>
      <c r="S24" s="7">
        <f t="shared" si="2"/>
        <v>7</v>
      </c>
    </row>
    <row r="25" spans="3:19" ht="17.45">
      <c r="C25" s="21" t="s">
        <v>68</v>
      </c>
      <c r="D25" s="28">
        <v>50</v>
      </c>
      <c r="E25" s="29">
        <v>33</v>
      </c>
      <c r="F25" s="29">
        <v>30</v>
      </c>
      <c r="G25" t="s">
        <v>69</v>
      </c>
      <c r="P25" s="7">
        <v>50</v>
      </c>
      <c r="Q25" s="7">
        <f t="shared" si="0"/>
        <v>16.666666666666664</v>
      </c>
      <c r="R25" s="7">
        <f t="shared" si="1"/>
        <v>17</v>
      </c>
      <c r="S25" s="7">
        <f t="shared" si="2"/>
        <v>33</v>
      </c>
    </row>
    <row r="26" spans="3:19" ht="17.45">
      <c r="C26" s="21" t="s">
        <v>70</v>
      </c>
      <c r="D26" s="28">
        <v>10</v>
      </c>
      <c r="E26" s="29">
        <v>7</v>
      </c>
      <c r="F26" s="29">
        <v>10</v>
      </c>
      <c r="P26" s="7">
        <v>10</v>
      </c>
      <c r="Q26" s="7">
        <f t="shared" si="0"/>
        <v>3.333333333333333</v>
      </c>
      <c r="R26" s="7">
        <f t="shared" si="1"/>
        <v>3</v>
      </c>
      <c r="S26" s="7">
        <f t="shared" si="2"/>
        <v>7</v>
      </c>
    </row>
    <row r="27" spans="3:19" ht="15.95">
      <c r="C27" s="1" t="s">
        <v>71</v>
      </c>
      <c r="D27" s="26">
        <f>+SUM(D18:D26)</f>
        <v>180</v>
      </c>
      <c r="E27" s="26">
        <f>+SUM(E18:E26)</f>
        <v>121</v>
      </c>
      <c r="F27" s="26">
        <f>+SUM(F18:F26)</f>
        <v>120</v>
      </c>
      <c r="G27" s="26"/>
    </row>
    <row r="31" spans="3:19" ht="17.45">
      <c r="C31" s="22" t="s">
        <v>72</v>
      </c>
    </row>
    <row r="32" spans="3:19" ht="15.95">
      <c r="C32" s="3" t="s">
        <v>73</v>
      </c>
    </row>
    <row r="33" spans="3:4" ht="17.45">
      <c r="C33" s="4" t="s">
        <v>74</v>
      </c>
      <c r="D33" t="s">
        <v>62</v>
      </c>
    </row>
    <row r="34" spans="3:4" ht="15.95">
      <c r="C34" s="3" t="s">
        <v>75</v>
      </c>
    </row>
    <row r="35" spans="3:4" ht="17.45">
      <c r="C35" s="4" t="s">
        <v>76</v>
      </c>
      <c r="D35" t="s">
        <v>65</v>
      </c>
    </row>
    <row r="39" spans="3:4" ht="17.45">
      <c r="C39" s="22" t="s">
        <v>77</v>
      </c>
    </row>
    <row r="40" spans="3:4" ht="15.95">
      <c r="C40" s="3" t="s">
        <v>78</v>
      </c>
    </row>
    <row r="41" spans="3:4" ht="17.45">
      <c r="C41" s="22" t="s">
        <v>79</v>
      </c>
    </row>
    <row r="42" spans="3:4" ht="17.45">
      <c r="C42" s="20" t="s">
        <v>80</v>
      </c>
    </row>
    <row r="43" spans="3:4" ht="15.95">
      <c r="C43" s="4" t="s">
        <v>81</v>
      </c>
    </row>
    <row r="44" spans="3:4" ht="17.45">
      <c r="C44" s="20" t="s">
        <v>82</v>
      </c>
    </row>
    <row r="45" spans="3:4" ht="15.95">
      <c r="C45" s="4" t="s">
        <v>81</v>
      </c>
    </row>
    <row r="47" spans="3:4" ht="17.45">
      <c r="C47" s="22" t="s">
        <v>83</v>
      </c>
    </row>
    <row r="48" spans="3:4" ht="15.95">
      <c r="C48" s="3" t="s">
        <v>84</v>
      </c>
    </row>
    <row r="49" spans="3:3" ht="17.45">
      <c r="C49" s="22" t="s">
        <v>85</v>
      </c>
    </row>
    <row r="50" spans="3:3" ht="17.45">
      <c r="C50" s="20" t="s">
        <v>80</v>
      </c>
    </row>
    <row r="51" spans="3:3" ht="15.95">
      <c r="C51" s="4" t="s">
        <v>81</v>
      </c>
    </row>
    <row r="52" spans="3:3" ht="17.45">
      <c r="C52" s="20" t="s">
        <v>82</v>
      </c>
    </row>
    <row r="53" spans="3:3" ht="15.95">
      <c r="C53" s="4" t="s">
        <v>81</v>
      </c>
    </row>
    <row r="56" spans="3:3">
      <c r="C56" t="s">
        <v>86</v>
      </c>
    </row>
    <row r="58" spans="3:3" ht="15.95">
      <c r="C58" s="3" t="s">
        <v>87</v>
      </c>
    </row>
    <row r="59" spans="3:3" ht="15.95">
      <c r="C59" s="4" t="s">
        <v>88</v>
      </c>
    </row>
    <row r="60" spans="3:3" ht="15.95">
      <c r="C60" s="23" t="s">
        <v>89</v>
      </c>
    </row>
    <row r="61" spans="3:3" ht="17.45">
      <c r="C61" s="19" t="s">
        <v>90</v>
      </c>
    </row>
    <row r="63" spans="3:3" ht="17.45">
      <c r="C63" s="3" t="s">
        <v>91</v>
      </c>
    </row>
    <row r="64" spans="3:3" ht="15.95">
      <c r="C64" s="4" t="s">
        <v>92</v>
      </c>
    </row>
    <row r="65" spans="3:9" ht="17.45">
      <c r="C65" s="22" t="s">
        <v>93</v>
      </c>
    </row>
    <row r="66" spans="3:9" ht="15.95">
      <c r="C66" s="4" t="s">
        <v>94</v>
      </c>
    </row>
    <row r="68" spans="3:9" ht="17.45">
      <c r="C68" s="3" t="s">
        <v>95</v>
      </c>
    </row>
    <row r="69" spans="3:9" ht="17.45">
      <c r="C69" s="4" t="s">
        <v>96</v>
      </c>
      <c r="I69" s="22" t="s">
        <v>97</v>
      </c>
    </row>
    <row r="70" spans="3:9" ht="15.95">
      <c r="C70" s="23" t="s">
        <v>98</v>
      </c>
      <c r="I70" s="4" t="s">
        <v>99</v>
      </c>
    </row>
    <row r="71" spans="3:9" ht="15.95">
      <c r="C71" s="4" t="s">
        <v>100</v>
      </c>
      <c r="I71" s="4" t="s">
        <v>101</v>
      </c>
    </row>
    <row r="72" spans="3:9" ht="15.95">
      <c r="C72" s="23" t="s">
        <v>102</v>
      </c>
    </row>
    <row r="73" spans="3:9" ht="17.45">
      <c r="C73" s="23" t="s">
        <v>103</v>
      </c>
      <c r="I73" s="22" t="s">
        <v>104</v>
      </c>
    </row>
    <row r="74" spans="3:9" ht="15.95">
      <c r="C74" s="23" t="s">
        <v>105</v>
      </c>
      <c r="I74" s="4" t="s">
        <v>106</v>
      </c>
    </row>
    <row r="75" spans="3:9" ht="15.95">
      <c r="C75" s="23" t="s">
        <v>107</v>
      </c>
      <c r="I75" s="3" t="s">
        <v>108</v>
      </c>
    </row>
    <row r="76" spans="3:9" ht="15.95">
      <c r="I76" s="4" t="s">
        <v>109</v>
      </c>
    </row>
    <row r="77" spans="3:9" ht="17.45">
      <c r="C77" s="3" t="s">
        <v>110</v>
      </c>
    </row>
    <row r="78" spans="3:9" ht="15.95">
      <c r="C78" s="4" t="s">
        <v>111</v>
      </c>
    </row>
    <row r="79" spans="3:9" ht="15.95">
      <c r="C79" s="3" t="s">
        <v>112</v>
      </c>
    </row>
    <row r="80" spans="3:9" ht="15.95">
      <c r="C80" s="4" t="s">
        <v>113</v>
      </c>
    </row>
    <row r="82" spans="3:3" ht="17.45">
      <c r="C82" s="22" t="s">
        <v>114</v>
      </c>
    </row>
    <row r="83" spans="3:3" ht="15.95">
      <c r="C83" s="4" t="s">
        <v>115</v>
      </c>
    </row>
    <row r="84" spans="3:3" ht="15.95">
      <c r="C84" s="23" t="s">
        <v>116</v>
      </c>
    </row>
    <row r="85" spans="3:3" ht="15.95">
      <c r="C85" s="23" t="s">
        <v>117</v>
      </c>
    </row>
    <row r="86" spans="3:3" ht="17.45">
      <c r="C86" s="23" t="s">
        <v>118</v>
      </c>
    </row>
    <row r="88" spans="3:3" ht="15.95">
      <c r="C88" s="4" t="s">
        <v>119</v>
      </c>
    </row>
    <row r="89" spans="3:3" ht="15.95">
      <c r="C89" s="3" t="s">
        <v>120</v>
      </c>
    </row>
    <row r="91" spans="3:3" ht="17.45">
      <c r="C91" s="3" t="s">
        <v>121</v>
      </c>
    </row>
    <row r="92" spans="3:3" ht="15.95">
      <c r="C92" s="4" t="s">
        <v>122</v>
      </c>
    </row>
    <row r="93" spans="3:3" ht="17.45">
      <c r="C93" s="22" t="s">
        <v>123</v>
      </c>
    </row>
    <row r="94" spans="3:3" ht="15.95">
      <c r="C94" s="4" t="s">
        <v>124</v>
      </c>
    </row>
    <row r="95" spans="3:3" ht="17.45">
      <c r="C95" s="22" t="s">
        <v>125</v>
      </c>
    </row>
    <row r="97" spans="3:3" ht="17.45">
      <c r="C97" s="3" t="s">
        <v>126</v>
      </c>
    </row>
    <row r="98" spans="3:3" ht="15.95">
      <c r="C98" s="4" t="s">
        <v>127</v>
      </c>
    </row>
    <row r="99" spans="3:3" ht="15.95">
      <c r="C99" s="3" t="s">
        <v>128</v>
      </c>
    </row>
    <row r="100" spans="3:3" ht="15.95">
      <c r="C100" s="4" t="s">
        <v>129</v>
      </c>
    </row>
    <row r="101" spans="3:3" ht="15.95">
      <c r="C101" s="3" t="s">
        <v>130</v>
      </c>
    </row>
    <row r="103" spans="3:3" ht="17.45">
      <c r="C103" s="22" t="s">
        <v>131</v>
      </c>
    </row>
    <row r="104" spans="3:3" ht="17.45">
      <c r="C104" s="20" t="s">
        <v>132</v>
      </c>
    </row>
    <row r="106" spans="3:3" ht="17.45">
      <c r="C106" s="22" t="s">
        <v>133</v>
      </c>
    </row>
    <row r="107" spans="3:3" ht="17.45">
      <c r="C107" s="20" t="s">
        <v>134</v>
      </c>
    </row>
    <row r="110" spans="3:3" ht="17.45">
      <c r="C110" s="22" t="s">
        <v>135</v>
      </c>
    </row>
    <row r="111" spans="3:3" ht="15.95">
      <c r="C111" s="4" t="s">
        <v>136</v>
      </c>
    </row>
    <row r="112" spans="3:3" ht="15.95">
      <c r="C112" s="3" t="s">
        <v>137</v>
      </c>
    </row>
    <row r="113" spans="3:3" ht="15.95">
      <c r="C113" s="23" t="s">
        <v>138</v>
      </c>
    </row>
    <row r="114" spans="3:3" ht="15.95">
      <c r="C114" s="23" t="s">
        <v>139</v>
      </c>
    </row>
    <row r="115" spans="3:3" ht="15.95">
      <c r="C115" s="23" t="s">
        <v>140</v>
      </c>
    </row>
    <row r="116" spans="3:3" ht="17.45">
      <c r="C116" s="22" t="s">
        <v>141</v>
      </c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50A6-9882-4F29-82B0-8AC81C69BF5F}">
  <dimension ref="B3:G103"/>
  <sheetViews>
    <sheetView showGridLines="0" topLeftCell="A20" zoomScaleNormal="100" workbookViewId="0">
      <selection activeCell="C5" sqref="C5:G12"/>
    </sheetView>
  </sheetViews>
  <sheetFormatPr defaultRowHeight="14.45"/>
  <cols>
    <col min="3" max="3" width="2.85546875" style="5" bestFit="1" customWidth="1"/>
    <col min="4" max="4" width="44.85546875" customWidth="1"/>
    <col min="5" max="5" width="10.5703125" bestFit="1" customWidth="1"/>
    <col min="6" max="6" width="28.140625" customWidth="1"/>
    <col min="7" max="7" width="8.140625" bestFit="1" customWidth="1"/>
  </cols>
  <sheetData>
    <row r="3" spans="2:7">
      <c r="B3" s="5" t="s">
        <v>142</v>
      </c>
    </row>
    <row r="5" spans="2:7" ht="15.95">
      <c r="C5" s="5">
        <v>1</v>
      </c>
      <c r="D5" t="s">
        <v>143</v>
      </c>
      <c r="F5" s="3" t="s">
        <v>144</v>
      </c>
      <c r="G5" s="1" t="s">
        <v>145</v>
      </c>
    </row>
    <row r="6" spans="2:7" ht="15.95">
      <c r="F6" s="4" t="s">
        <v>146</v>
      </c>
      <c r="G6" s="8">
        <v>6.5</v>
      </c>
    </row>
    <row r="7" spans="2:7" ht="15.95">
      <c r="F7" s="4" t="s">
        <v>147</v>
      </c>
      <c r="G7" s="8">
        <v>5</v>
      </c>
    </row>
    <row r="8" spans="2:7" ht="15.95">
      <c r="F8" s="10" t="s">
        <v>148</v>
      </c>
      <c r="G8" s="11">
        <v>4</v>
      </c>
    </row>
    <row r="9" spans="2:7" ht="15.95">
      <c r="F9" s="12" t="s">
        <v>149</v>
      </c>
      <c r="G9" s="13">
        <v>3</v>
      </c>
    </row>
    <row r="10" spans="2:7" ht="17.45">
      <c r="F10" s="10" t="s">
        <v>150</v>
      </c>
      <c r="G10" s="11">
        <v>2.5</v>
      </c>
    </row>
    <row r="11" spans="2:7" ht="15.95">
      <c r="F11" s="4" t="s">
        <v>151</v>
      </c>
      <c r="G11" s="8">
        <v>2</v>
      </c>
    </row>
    <row r="12" spans="2:7" ht="15.95">
      <c r="F12" s="10" t="s">
        <v>152</v>
      </c>
      <c r="G12" s="11">
        <v>1.5</v>
      </c>
    </row>
    <row r="15" spans="2:7" ht="15.95">
      <c r="C15" s="5">
        <v>2</v>
      </c>
      <c r="D15" t="s">
        <v>153</v>
      </c>
      <c r="F15" s="3" t="s">
        <v>144</v>
      </c>
      <c r="G15" s="1" t="s">
        <v>145</v>
      </c>
    </row>
    <row r="16" spans="2:7" ht="15.95">
      <c r="F16" s="4" t="s">
        <v>154</v>
      </c>
      <c r="G16" s="8">
        <v>7</v>
      </c>
    </row>
    <row r="17" spans="3:7" ht="15.95">
      <c r="F17" s="4" t="s">
        <v>155</v>
      </c>
      <c r="G17" s="8">
        <v>5</v>
      </c>
    </row>
    <row r="18" spans="3:7" ht="15.95">
      <c r="F18" s="4" t="s">
        <v>156</v>
      </c>
      <c r="G18" s="8">
        <v>4</v>
      </c>
    </row>
    <row r="19" spans="3:7" ht="17.45">
      <c r="F19" s="4" t="s">
        <v>157</v>
      </c>
      <c r="G19" s="8">
        <v>3</v>
      </c>
    </row>
    <row r="20" spans="3:7" ht="15.95">
      <c r="F20" s="4" t="s">
        <v>158</v>
      </c>
      <c r="G20" s="8">
        <v>2.5</v>
      </c>
    </row>
    <row r="21" spans="3:7" ht="15.95">
      <c r="F21" s="4" t="s">
        <v>159</v>
      </c>
      <c r="G21" s="8">
        <v>2</v>
      </c>
    </row>
    <row r="22" spans="3:7" ht="17.45">
      <c r="F22" s="4" t="s">
        <v>160</v>
      </c>
      <c r="G22" s="8">
        <v>1.5</v>
      </c>
    </row>
    <row r="25" spans="3:7" ht="15.95">
      <c r="C25" s="5">
        <v>3</v>
      </c>
      <c r="D25" t="s">
        <v>161</v>
      </c>
      <c r="F25" s="3" t="s">
        <v>144</v>
      </c>
      <c r="G25" s="1" t="s">
        <v>145</v>
      </c>
    </row>
    <row r="26" spans="3:7" ht="15.95">
      <c r="F26" s="4" t="s">
        <v>162</v>
      </c>
      <c r="G26" s="8">
        <v>6.5</v>
      </c>
    </row>
    <row r="27" spans="3:7" ht="15.95">
      <c r="F27" s="4" t="s">
        <v>163</v>
      </c>
      <c r="G27" s="8">
        <v>5</v>
      </c>
    </row>
    <row r="28" spans="3:7" ht="15.95">
      <c r="F28" s="4" t="s">
        <v>164</v>
      </c>
      <c r="G28" s="8">
        <v>4</v>
      </c>
    </row>
    <row r="29" spans="3:7" ht="15.95">
      <c r="F29" s="4" t="s">
        <v>165</v>
      </c>
      <c r="G29" s="8">
        <v>3</v>
      </c>
    </row>
    <row r="30" spans="3:7" ht="15.95">
      <c r="F30" s="4" t="s">
        <v>166</v>
      </c>
      <c r="G30" s="8">
        <v>2.5</v>
      </c>
    </row>
    <row r="31" spans="3:7" ht="15.95">
      <c r="F31" s="4" t="s">
        <v>167</v>
      </c>
      <c r="G31" s="8">
        <v>2</v>
      </c>
    </row>
    <row r="32" spans="3:7" ht="17.45">
      <c r="F32" s="4" t="s">
        <v>168</v>
      </c>
      <c r="G32" s="8">
        <v>1.5</v>
      </c>
    </row>
    <row r="35" spans="3:7" ht="15.95">
      <c r="C35" s="5">
        <v>4</v>
      </c>
      <c r="D35" t="s">
        <v>169</v>
      </c>
      <c r="F35" s="3" t="s">
        <v>144</v>
      </c>
      <c r="G35" s="1" t="s">
        <v>145</v>
      </c>
    </row>
    <row r="36" spans="3:7" ht="15.95">
      <c r="F36" s="4" t="s">
        <v>170</v>
      </c>
      <c r="G36" s="8">
        <v>6</v>
      </c>
    </row>
    <row r="37" spans="3:7" ht="15.95">
      <c r="F37" s="4" t="s">
        <v>171</v>
      </c>
      <c r="G37" s="8">
        <v>5</v>
      </c>
    </row>
    <row r="38" spans="3:7" ht="17.45">
      <c r="F38" s="4" t="s">
        <v>172</v>
      </c>
      <c r="G38" s="8">
        <v>4</v>
      </c>
    </row>
    <row r="39" spans="3:7" ht="15.95">
      <c r="F39" s="4" t="s">
        <v>173</v>
      </c>
      <c r="G39" s="8">
        <v>3</v>
      </c>
    </row>
    <row r="40" spans="3:7" ht="15.95">
      <c r="F40" s="4" t="s">
        <v>174</v>
      </c>
      <c r="G40" s="8">
        <v>2.5</v>
      </c>
    </row>
    <row r="41" spans="3:7" ht="15.95">
      <c r="F41" s="4" t="s">
        <v>175</v>
      </c>
      <c r="G41" s="8">
        <v>2</v>
      </c>
    </row>
    <row r="42" spans="3:7" ht="17.45">
      <c r="F42" s="4" t="s">
        <v>176</v>
      </c>
      <c r="G42" s="8">
        <v>1.5</v>
      </c>
    </row>
    <row r="45" spans="3:7" ht="15.95">
      <c r="C45" s="5">
        <v>5</v>
      </c>
      <c r="D45" t="s">
        <v>177</v>
      </c>
      <c r="F45" s="3" t="s">
        <v>144</v>
      </c>
      <c r="G45" s="1" t="s">
        <v>145</v>
      </c>
    </row>
    <row r="46" spans="3:7" ht="15.95">
      <c r="F46" s="4" t="s">
        <v>178</v>
      </c>
      <c r="G46" s="8">
        <v>7</v>
      </c>
    </row>
    <row r="47" spans="3:7" ht="15.95">
      <c r="F47" s="4" t="s">
        <v>179</v>
      </c>
      <c r="G47" s="8">
        <v>5</v>
      </c>
    </row>
    <row r="48" spans="3:7" ht="17.45">
      <c r="F48" s="4" t="s">
        <v>180</v>
      </c>
      <c r="G48" s="8">
        <v>4</v>
      </c>
    </row>
    <row r="49" spans="3:7" ht="15.95">
      <c r="F49" s="4" t="s">
        <v>181</v>
      </c>
      <c r="G49" s="8">
        <v>3</v>
      </c>
    </row>
    <row r="50" spans="3:7" ht="15.95">
      <c r="F50" s="4" t="s">
        <v>182</v>
      </c>
      <c r="G50" s="8">
        <v>2.5</v>
      </c>
    </row>
    <row r="51" spans="3:7" ht="15.95">
      <c r="F51" s="4" t="s">
        <v>183</v>
      </c>
      <c r="G51" s="8">
        <v>2</v>
      </c>
    </row>
    <row r="52" spans="3:7" ht="17.45">
      <c r="F52" s="4" t="s">
        <v>184</v>
      </c>
      <c r="G52" s="8">
        <v>1.5</v>
      </c>
    </row>
    <row r="55" spans="3:7" ht="15.95">
      <c r="C55" s="5">
        <v>6</v>
      </c>
      <c r="D55" t="s">
        <v>185</v>
      </c>
      <c r="F55" s="1" t="s">
        <v>144</v>
      </c>
      <c r="G55" s="1" t="s">
        <v>145</v>
      </c>
    </row>
    <row r="56" spans="3:7" ht="15.95">
      <c r="F56" s="2" t="s">
        <v>186</v>
      </c>
      <c r="G56" s="8">
        <v>7</v>
      </c>
    </row>
    <row r="57" spans="3:7" ht="17.45">
      <c r="F57" s="2" t="s">
        <v>187</v>
      </c>
      <c r="G57" s="8">
        <v>5</v>
      </c>
    </row>
    <row r="58" spans="3:7" ht="15.95">
      <c r="F58" s="2" t="s">
        <v>188</v>
      </c>
      <c r="G58" s="8">
        <v>4</v>
      </c>
    </row>
    <row r="59" spans="3:7" ht="15.95">
      <c r="F59" s="2" t="s">
        <v>189</v>
      </c>
      <c r="G59" s="8">
        <v>3</v>
      </c>
    </row>
    <row r="60" spans="3:7" ht="15.95">
      <c r="F60" s="2" t="s">
        <v>190</v>
      </c>
      <c r="G60" s="8">
        <v>2.5</v>
      </c>
    </row>
    <row r="61" spans="3:7" ht="15.95">
      <c r="F61" s="2" t="s">
        <v>191</v>
      </c>
      <c r="G61" s="8">
        <v>2</v>
      </c>
    </row>
    <row r="62" spans="3:7" ht="17.45">
      <c r="F62" s="2" t="s">
        <v>192</v>
      </c>
      <c r="G62" s="8">
        <v>1.5</v>
      </c>
    </row>
    <row r="66" spans="3:7" ht="15.95">
      <c r="C66" s="5">
        <v>7</v>
      </c>
      <c r="D66" t="s">
        <v>193</v>
      </c>
      <c r="F66" s="1" t="s">
        <v>144</v>
      </c>
      <c r="G66" s="1" t="s">
        <v>145</v>
      </c>
    </row>
    <row r="67" spans="3:7" ht="15.95">
      <c r="F67" s="2" t="s">
        <v>194</v>
      </c>
      <c r="G67" s="8">
        <v>6.5</v>
      </c>
    </row>
    <row r="68" spans="3:7" ht="15.95">
      <c r="F68" s="2" t="s">
        <v>195</v>
      </c>
      <c r="G68" s="8">
        <v>5</v>
      </c>
    </row>
    <row r="69" spans="3:7" ht="15.95">
      <c r="F69" s="2" t="s">
        <v>196</v>
      </c>
      <c r="G69" s="8">
        <v>4</v>
      </c>
    </row>
    <row r="70" spans="3:7" ht="15.95">
      <c r="F70" s="2" t="s">
        <v>197</v>
      </c>
      <c r="G70" s="8">
        <v>3</v>
      </c>
    </row>
    <row r="71" spans="3:7" ht="17.45">
      <c r="F71" s="2" t="s">
        <v>198</v>
      </c>
      <c r="G71" s="8">
        <v>2.5</v>
      </c>
    </row>
    <row r="72" spans="3:7" ht="15.95">
      <c r="F72" s="2" t="s">
        <v>199</v>
      </c>
      <c r="G72" s="8">
        <v>2</v>
      </c>
    </row>
    <row r="73" spans="3:7" ht="17.45">
      <c r="F73" s="2" t="s">
        <v>200</v>
      </c>
      <c r="G73" s="8">
        <v>1.5</v>
      </c>
    </row>
    <row r="76" spans="3:7" ht="15.95">
      <c r="C76" s="5">
        <v>8</v>
      </c>
      <c r="D76" t="s">
        <v>201</v>
      </c>
      <c r="F76" s="1" t="s">
        <v>144</v>
      </c>
      <c r="G76" s="1" t="s">
        <v>145</v>
      </c>
    </row>
    <row r="77" spans="3:7" ht="15.95">
      <c r="F77" s="2" t="s">
        <v>202</v>
      </c>
      <c r="G77" s="8">
        <v>6.5</v>
      </c>
    </row>
    <row r="78" spans="3:7" ht="15.95">
      <c r="F78" s="2" t="s">
        <v>203</v>
      </c>
      <c r="G78" s="8">
        <v>5</v>
      </c>
    </row>
    <row r="79" spans="3:7" ht="15.95">
      <c r="F79" s="2" t="s">
        <v>204</v>
      </c>
      <c r="G79" s="8">
        <v>4</v>
      </c>
    </row>
    <row r="80" spans="3:7" ht="15.95">
      <c r="F80" s="2" t="s">
        <v>205</v>
      </c>
      <c r="G80" s="8">
        <v>3</v>
      </c>
    </row>
    <row r="81" spans="3:7" ht="17.45">
      <c r="F81" s="2" t="s">
        <v>206</v>
      </c>
      <c r="G81" s="8">
        <v>2.5</v>
      </c>
    </row>
    <row r="82" spans="3:7" ht="15.95">
      <c r="F82" s="2" t="s">
        <v>207</v>
      </c>
      <c r="G82" s="8">
        <v>2</v>
      </c>
    </row>
    <row r="83" spans="3:7" ht="17.45">
      <c r="F83" s="2" t="s">
        <v>208</v>
      </c>
      <c r="G83" s="8">
        <v>1.5</v>
      </c>
    </row>
    <row r="86" spans="3:7" ht="15.95">
      <c r="C86" s="5">
        <v>9</v>
      </c>
      <c r="D86" t="s">
        <v>209</v>
      </c>
      <c r="F86" s="1" t="s">
        <v>144</v>
      </c>
      <c r="G86" s="1" t="s">
        <v>145</v>
      </c>
    </row>
    <row r="87" spans="3:7" ht="15.95">
      <c r="F87" s="2" t="s">
        <v>210</v>
      </c>
      <c r="G87" s="8">
        <v>7</v>
      </c>
    </row>
    <row r="88" spans="3:7" ht="15.95">
      <c r="F88" s="2" t="s">
        <v>159</v>
      </c>
      <c r="G88" s="8">
        <v>5</v>
      </c>
    </row>
    <row r="89" spans="3:7" ht="15.95">
      <c r="F89" s="2" t="s">
        <v>202</v>
      </c>
      <c r="G89" s="8">
        <v>4</v>
      </c>
    </row>
    <row r="90" spans="3:7" ht="15.95">
      <c r="F90" s="2" t="s">
        <v>211</v>
      </c>
      <c r="G90" s="8">
        <v>3</v>
      </c>
    </row>
    <row r="91" spans="3:7" ht="17.45">
      <c r="F91" s="2" t="s">
        <v>212</v>
      </c>
      <c r="G91" s="8">
        <v>2.5</v>
      </c>
    </row>
    <row r="92" spans="3:7" ht="15.95">
      <c r="F92" s="2" t="s">
        <v>213</v>
      </c>
      <c r="G92" s="8">
        <v>2</v>
      </c>
    </row>
    <row r="93" spans="3:7" ht="17.45">
      <c r="F93" s="2" t="s">
        <v>214</v>
      </c>
      <c r="G93" s="8">
        <v>1.5</v>
      </c>
    </row>
    <row r="96" spans="3:7" ht="15.95">
      <c r="C96" s="5">
        <v>10</v>
      </c>
      <c r="D96" t="s">
        <v>215</v>
      </c>
      <c r="F96" s="1" t="s">
        <v>144</v>
      </c>
      <c r="G96" s="1" t="s">
        <v>145</v>
      </c>
    </row>
    <row r="97" spans="6:7" ht="15.95">
      <c r="F97" s="2" t="s">
        <v>216</v>
      </c>
      <c r="G97" s="8">
        <v>6.5</v>
      </c>
    </row>
    <row r="98" spans="6:7" ht="17.45">
      <c r="F98" s="2" t="s">
        <v>217</v>
      </c>
      <c r="G98" s="8">
        <v>5</v>
      </c>
    </row>
    <row r="99" spans="6:7" ht="15.95">
      <c r="F99" s="2" t="s">
        <v>218</v>
      </c>
      <c r="G99" s="8">
        <v>4</v>
      </c>
    </row>
    <row r="100" spans="6:7" ht="15.95">
      <c r="F100" s="2" t="s">
        <v>219</v>
      </c>
      <c r="G100" s="8">
        <v>3</v>
      </c>
    </row>
    <row r="101" spans="6:7" ht="15.95">
      <c r="F101" s="2" t="s">
        <v>220</v>
      </c>
      <c r="G101" s="8">
        <v>2.5</v>
      </c>
    </row>
    <row r="102" spans="6:7" ht="17.45">
      <c r="F102" s="2" t="s">
        <v>221</v>
      </c>
      <c r="G102" s="8">
        <v>2</v>
      </c>
    </row>
    <row r="103" spans="6:7" ht="15.95">
      <c r="F103" s="2" t="s">
        <v>222</v>
      </c>
      <c r="G103" s="8">
        <v>1.5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6CAD-CA4E-459A-B2B3-62164A2B8FD4}">
  <dimension ref="B3:J109"/>
  <sheetViews>
    <sheetView showGridLines="0" topLeftCell="A98" workbookViewId="0">
      <selection activeCell="G16" sqref="G16:G22"/>
    </sheetView>
  </sheetViews>
  <sheetFormatPr defaultRowHeight="14.45"/>
  <cols>
    <col min="2" max="2" width="9.5703125" bestFit="1" customWidth="1"/>
    <col min="3" max="3" width="2.85546875" style="5" bestFit="1" customWidth="1"/>
    <col min="4" max="4" width="58.42578125" bestFit="1" customWidth="1"/>
    <col min="6" max="6" width="30.5703125" bestFit="1" customWidth="1"/>
    <col min="7" max="7" width="8.140625" bestFit="1" customWidth="1"/>
    <col min="9" max="9" width="5.140625" bestFit="1" customWidth="1"/>
    <col min="10" max="10" width="2.85546875" style="5" bestFit="1" customWidth="1"/>
  </cols>
  <sheetData>
    <row r="3" spans="2:10">
      <c r="B3" s="5" t="s">
        <v>142</v>
      </c>
    </row>
    <row r="5" spans="2:10" ht="15.95">
      <c r="C5" s="5">
        <v>1</v>
      </c>
      <c r="D5" t="s">
        <v>223</v>
      </c>
      <c r="F5" s="3" t="s">
        <v>144</v>
      </c>
      <c r="G5" s="1" t="s">
        <v>145</v>
      </c>
      <c r="I5" t="s">
        <v>224</v>
      </c>
      <c r="J5" s="5">
        <f>+SUM(G6:G12)</f>
        <v>25</v>
      </c>
    </row>
    <row r="6" spans="2:10" ht="15.95">
      <c r="F6" s="4" t="s">
        <v>225</v>
      </c>
      <c r="G6" s="8">
        <v>7</v>
      </c>
    </row>
    <row r="7" spans="2:10" ht="15.95">
      <c r="F7" s="4" t="s">
        <v>226</v>
      </c>
      <c r="G7" s="8">
        <v>5</v>
      </c>
    </row>
    <row r="8" spans="2:10" ht="15.95">
      <c r="F8" s="4" t="s">
        <v>227</v>
      </c>
      <c r="G8" s="8">
        <v>4</v>
      </c>
    </row>
    <row r="9" spans="2:10" ht="15.95">
      <c r="F9" s="4" t="s">
        <v>179</v>
      </c>
      <c r="G9" s="8">
        <v>3</v>
      </c>
    </row>
    <row r="10" spans="2:10" ht="17.45">
      <c r="F10" s="4" t="s">
        <v>228</v>
      </c>
      <c r="G10" s="8">
        <v>2.5</v>
      </c>
    </row>
    <row r="11" spans="2:10" ht="15.95">
      <c r="F11" s="4" t="s">
        <v>229</v>
      </c>
      <c r="G11" s="8">
        <v>2</v>
      </c>
    </row>
    <row r="12" spans="2:10" ht="17.45">
      <c r="F12" s="4" t="s">
        <v>230</v>
      </c>
      <c r="G12" s="8">
        <v>1.5</v>
      </c>
    </row>
    <row r="15" spans="2:10" ht="15.95">
      <c r="C15" s="5">
        <v>2</v>
      </c>
      <c r="D15" t="s">
        <v>231</v>
      </c>
      <c r="F15" s="3" t="s">
        <v>144</v>
      </c>
      <c r="G15" s="1" t="s">
        <v>145</v>
      </c>
      <c r="I15" t="s">
        <v>224</v>
      </c>
      <c r="J15" s="5">
        <f>+SUM(G16:G22)</f>
        <v>24.5</v>
      </c>
    </row>
    <row r="16" spans="2:10" ht="15.95">
      <c r="F16" s="4" t="s">
        <v>232</v>
      </c>
      <c r="G16" s="8">
        <v>6.5</v>
      </c>
    </row>
    <row r="17" spans="3:10" ht="15.95">
      <c r="F17" s="4" t="s">
        <v>233</v>
      </c>
      <c r="G17" s="8">
        <v>5</v>
      </c>
    </row>
    <row r="18" spans="3:10" ht="15.95">
      <c r="F18" s="4" t="s">
        <v>234</v>
      </c>
      <c r="G18" s="8">
        <v>4</v>
      </c>
    </row>
    <row r="19" spans="3:10" ht="15.95">
      <c r="F19" s="4" t="s">
        <v>235</v>
      </c>
      <c r="G19" s="8">
        <v>3</v>
      </c>
    </row>
    <row r="20" spans="3:10" ht="17.45">
      <c r="F20" s="4" t="s">
        <v>236</v>
      </c>
      <c r="G20" s="8">
        <v>2.5</v>
      </c>
    </row>
    <row r="21" spans="3:10" ht="15.95">
      <c r="F21" s="4" t="s">
        <v>237</v>
      </c>
      <c r="G21" s="8">
        <v>2</v>
      </c>
    </row>
    <row r="22" spans="3:10" ht="17.45">
      <c r="F22" s="4" t="s">
        <v>238</v>
      </c>
      <c r="G22" s="8">
        <v>1.5</v>
      </c>
    </row>
    <row r="26" spans="3:10" ht="15.95">
      <c r="C26" s="5">
        <v>3</v>
      </c>
      <c r="D26" t="s">
        <v>239</v>
      </c>
      <c r="F26" s="1" t="s">
        <v>144</v>
      </c>
      <c r="G26" s="1" t="s">
        <v>145</v>
      </c>
      <c r="I26" t="s">
        <v>224</v>
      </c>
      <c r="J26" s="5">
        <f>+SUM(G27:G33)</f>
        <v>24.5</v>
      </c>
    </row>
    <row r="27" spans="3:10" ht="15.95">
      <c r="F27" s="2" t="s">
        <v>240</v>
      </c>
      <c r="G27" s="8">
        <v>6.5</v>
      </c>
    </row>
    <row r="28" spans="3:10" ht="15.95">
      <c r="F28" s="2" t="s">
        <v>241</v>
      </c>
      <c r="G28" s="8">
        <v>5</v>
      </c>
    </row>
    <row r="29" spans="3:10" ht="15.95">
      <c r="F29" s="2" t="s">
        <v>242</v>
      </c>
      <c r="G29" s="8">
        <v>4</v>
      </c>
    </row>
    <row r="30" spans="3:10" ht="17.45">
      <c r="F30" s="2" t="s">
        <v>243</v>
      </c>
      <c r="G30" s="8">
        <v>3</v>
      </c>
    </row>
    <row r="31" spans="3:10" ht="15.95">
      <c r="F31" s="2" t="s">
        <v>244</v>
      </c>
      <c r="G31" s="8">
        <v>2.5</v>
      </c>
    </row>
    <row r="32" spans="3:10" ht="15.95">
      <c r="F32" s="2" t="s">
        <v>245</v>
      </c>
      <c r="G32" s="8">
        <v>2</v>
      </c>
    </row>
    <row r="33" spans="3:10" ht="17.45">
      <c r="F33" s="2" t="s">
        <v>246</v>
      </c>
      <c r="G33" s="8">
        <v>1.5</v>
      </c>
    </row>
    <row r="36" spans="3:10" ht="15.95">
      <c r="C36" s="5">
        <v>4</v>
      </c>
      <c r="D36" t="s">
        <v>247</v>
      </c>
      <c r="F36" s="1" t="s">
        <v>144</v>
      </c>
      <c r="G36" s="1" t="s">
        <v>145</v>
      </c>
      <c r="I36" t="s">
        <v>224</v>
      </c>
      <c r="J36" s="5">
        <f>+SUM(G37:G43)</f>
        <v>24.5</v>
      </c>
    </row>
    <row r="37" spans="3:10" ht="15.95">
      <c r="F37" s="2" t="s">
        <v>166</v>
      </c>
      <c r="G37" s="8">
        <v>6.5</v>
      </c>
    </row>
    <row r="38" spans="3:10" ht="17.45">
      <c r="F38" s="2" t="s">
        <v>248</v>
      </c>
      <c r="G38" s="8">
        <v>5</v>
      </c>
    </row>
    <row r="39" spans="3:10" ht="15.95">
      <c r="F39" s="2" t="s">
        <v>249</v>
      </c>
      <c r="G39" s="8">
        <v>4</v>
      </c>
    </row>
    <row r="40" spans="3:10" ht="15.95">
      <c r="F40" s="2" t="s">
        <v>250</v>
      </c>
      <c r="G40" s="8">
        <v>3</v>
      </c>
    </row>
    <row r="41" spans="3:10" ht="15.95">
      <c r="F41" s="2" t="s">
        <v>251</v>
      </c>
      <c r="G41" s="8">
        <v>2.5</v>
      </c>
    </row>
    <row r="42" spans="3:10" ht="15.95">
      <c r="F42" s="2" t="s">
        <v>151</v>
      </c>
      <c r="G42" s="8">
        <v>2</v>
      </c>
    </row>
    <row r="43" spans="3:10" ht="17.45">
      <c r="F43" s="2" t="s">
        <v>252</v>
      </c>
      <c r="G43" s="8">
        <v>1.5</v>
      </c>
    </row>
    <row r="47" spans="3:10" ht="15.95">
      <c r="C47" s="5">
        <v>5</v>
      </c>
      <c r="D47" t="s">
        <v>253</v>
      </c>
      <c r="F47" s="1" t="s">
        <v>144</v>
      </c>
      <c r="G47" s="1" t="s">
        <v>145</v>
      </c>
      <c r="I47" t="s">
        <v>224</v>
      </c>
      <c r="J47" s="5">
        <f>+SUM(G48:G54)</f>
        <v>25</v>
      </c>
    </row>
    <row r="48" spans="3:10" ht="15.95">
      <c r="F48" s="2" t="s">
        <v>254</v>
      </c>
      <c r="G48" s="8">
        <v>7</v>
      </c>
    </row>
    <row r="49" spans="3:10" ht="15.95">
      <c r="F49" s="2" t="s">
        <v>255</v>
      </c>
      <c r="G49" s="8">
        <v>5</v>
      </c>
    </row>
    <row r="50" spans="3:10" ht="15.95">
      <c r="F50" s="2" t="s">
        <v>256</v>
      </c>
      <c r="G50" s="8">
        <v>4</v>
      </c>
    </row>
    <row r="51" spans="3:10" ht="15.95">
      <c r="F51" s="2" t="s">
        <v>257</v>
      </c>
      <c r="G51" s="8">
        <v>3</v>
      </c>
    </row>
    <row r="52" spans="3:10" ht="17.45">
      <c r="F52" s="2" t="s">
        <v>258</v>
      </c>
      <c r="G52" s="8">
        <v>2.5</v>
      </c>
    </row>
    <row r="53" spans="3:10" ht="15.95">
      <c r="F53" s="2" t="s">
        <v>259</v>
      </c>
      <c r="G53" s="8">
        <v>2</v>
      </c>
    </row>
    <row r="54" spans="3:10" ht="17.45">
      <c r="F54" s="2" t="s">
        <v>260</v>
      </c>
      <c r="G54" s="8">
        <v>1.5</v>
      </c>
    </row>
    <row r="58" spans="3:10" ht="15.95">
      <c r="C58" s="5">
        <v>6</v>
      </c>
      <c r="D58" t="s">
        <v>261</v>
      </c>
      <c r="F58" s="1" t="s">
        <v>144</v>
      </c>
      <c r="G58" s="1" t="s">
        <v>145</v>
      </c>
      <c r="I58" t="s">
        <v>224</v>
      </c>
      <c r="J58" s="5">
        <f>+SUM(G59:G65)</f>
        <v>25</v>
      </c>
    </row>
    <row r="59" spans="3:10" ht="15.95">
      <c r="F59" s="2" t="s">
        <v>262</v>
      </c>
      <c r="G59" s="8">
        <v>7</v>
      </c>
    </row>
    <row r="60" spans="3:10" ht="15.95">
      <c r="F60" s="2" t="s">
        <v>263</v>
      </c>
      <c r="G60" s="8">
        <v>5</v>
      </c>
    </row>
    <row r="61" spans="3:10" ht="15.95">
      <c r="F61" s="2" t="s">
        <v>264</v>
      </c>
      <c r="G61" s="8">
        <v>4</v>
      </c>
    </row>
    <row r="62" spans="3:10" ht="15.95">
      <c r="F62" s="2" t="s">
        <v>265</v>
      </c>
      <c r="G62" s="8">
        <v>3</v>
      </c>
    </row>
    <row r="63" spans="3:10" ht="17.45">
      <c r="F63" s="2" t="s">
        <v>206</v>
      </c>
      <c r="G63" s="8">
        <v>2.5</v>
      </c>
    </row>
    <row r="64" spans="3:10" ht="15.95">
      <c r="F64" s="2" t="s">
        <v>266</v>
      </c>
      <c r="G64" s="8">
        <v>2</v>
      </c>
    </row>
    <row r="65" spans="3:10" ht="17.45">
      <c r="F65" s="2" t="s">
        <v>267</v>
      </c>
      <c r="G65" s="8">
        <v>1.5</v>
      </c>
    </row>
    <row r="69" spans="3:10" ht="15.95">
      <c r="C69" s="5">
        <v>7</v>
      </c>
      <c r="D69" t="s">
        <v>268</v>
      </c>
      <c r="F69" s="1" t="s">
        <v>144</v>
      </c>
      <c r="G69" s="1" t="s">
        <v>145</v>
      </c>
      <c r="I69" t="s">
        <v>224</v>
      </c>
      <c r="J69" s="5">
        <f>+SUM(G70:G76)</f>
        <v>24.5</v>
      </c>
    </row>
    <row r="70" spans="3:10" ht="15.95">
      <c r="F70" s="2" t="s">
        <v>269</v>
      </c>
      <c r="G70" s="8">
        <v>6.5</v>
      </c>
    </row>
    <row r="71" spans="3:10" ht="15.95">
      <c r="F71" s="2" t="s">
        <v>270</v>
      </c>
      <c r="G71" s="8">
        <v>5</v>
      </c>
    </row>
    <row r="72" spans="3:10" ht="15.95">
      <c r="F72" s="2" t="s">
        <v>271</v>
      </c>
      <c r="G72" s="8">
        <v>4</v>
      </c>
    </row>
    <row r="73" spans="3:10" ht="15.95">
      <c r="F73" s="2" t="s">
        <v>272</v>
      </c>
      <c r="G73" s="8">
        <v>3</v>
      </c>
    </row>
    <row r="74" spans="3:10" ht="17.45">
      <c r="F74" s="2" t="s">
        <v>273</v>
      </c>
      <c r="G74" s="8">
        <v>2.5</v>
      </c>
    </row>
    <row r="75" spans="3:10" ht="15.95">
      <c r="F75" s="2" t="s">
        <v>274</v>
      </c>
      <c r="G75" s="8">
        <v>2</v>
      </c>
    </row>
    <row r="76" spans="3:10" ht="17.45">
      <c r="F76" s="2" t="s">
        <v>275</v>
      </c>
      <c r="G76" s="8">
        <v>1.5</v>
      </c>
    </row>
    <row r="77" spans="3:10" ht="15.95">
      <c r="F77" s="2"/>
      <c r="G77" s="2"/>
    </row>
    <row r="80" spans="3:10" ht="15.95">
      <c r="C80" s="5">
        <v>8</v>
      </c>
      <c r="D80" t="s">
        <v>276</v>
      </c>
      <c r="F80" s="1" t="s">
        <v>144</v>
      </c>
      <c r="G80" s="1" t="s">
        <v>145</v>
      </c>
      <c r="I80" t="s">
        <v>224</v>
      </c>
      <c r="J80" s="5">
        <f>+SUM(G81:G87)</f>
        <v>24.5</v>
      </c>
    </row>
    <row r="81" spans="3:10" ht="15.95">
      <c r="F81" s="2" t="s">
        <v>182</v>
      </c>
      <c r="G81" s="8">
        <v>6.5</v>
      </c>
    </row>
    <row r="82" spans="3:10" ht="15.95">
      <c r="F82" s="2" t="s">
        <v>277</v>
      </c>
      <c r="G82" s="8">
        <v>5</v>
      </c>
    </row>
    <row r="83" spans="3:10" ht="15.95">
      <c r="F83" s="2" t="s">
        <v>278</v>
      </c>
      <c r="G83" s="8">
        <v>4</v>
      </c>
    </row>
    <row r="84" spans="3:10" ht="15.95">
      <c r="F84" s="2" t="s">
        <v>279</v>
      </c>
      <c r="G84" s="8">
        <v>3</v>
      </c>
    </row>
    <row r="85" spans="3:10" ht="17.45">
      <c r="F85" s="2" t="s">
        <v>280</v>
      </c>
      <c r="G85" s="8">
        <v>2.5</v>
      </c>
    </row>
    <row r="86" spans="3:10" ht="15.95">
      <c r="F86" s="2" t="s">
        <v>281</v>
      </c>
      <c r="G86" s="8">
        <v>2</v>
      </c>
    </row>
    <row r="87" spans="3:10" ht="17.45">
      <c r="F87" s="2" t="s">
        <v>282</v>
      </c>
      <c r="G87" s="8">
        <v>1.5</v>
      </c>
    </row>
    <row r="91" spans="3:10" ht="15.95">
      <c r="C91" s="5">
        <v>9</v>
      </c>
      <c r="D91" t="s">
        <v>283</v>
      </c>
      <c r="F91" s="1" t="s">
        <v>144</v>
      </c>
      <c r="G91" s="1" t="s">
        <v>145</v>
      </c>
      <c r="I91" t="s">
        <v>224</v>
      </c>
      <c r="J91" s="5">
        <f>+SUM(G92:G98)</f>
        <v>24.5</v>
      </c>
    </row>
    <row r="92" spans="3:10" ht="17.45">
      <c r="F92" s="2" t="s">
        <v>284</v>
      </c>
      <c r="G92" s="8">
        <v>6.5</v>
      </c>
    </row>
    <row r="93" spans="3:10" ht="15.95">
      <c r="F93" s="2" t="s">
        <v>285</v>
      </c>
      <c r="G93" s="8">
        <v>5</v>
      </c>
    </row>
    <row r="94" spans="3:10" ht="15.95">
      <c r="F94" s="2" t="s">
        <v>194</v>
      </c>
      <c r="G94" s="8">
        <v>4</v>
      </c>
    </row>
    <row r="95" spans="3:10" ht="15.95">
      <c r="F95" s="2" t="s">
        <v>286</v>
      </c>
      <c r="G95" s="8">
        <v>3</v>
      </c>
    </row>
    <row r="96" spans="3:10" ht="15.95">
      <c r="F96" s="2" t="s">
        <v>287</v>
      </c>
      <c r="G96" s="8">
        <v>2.5</v>
      </c>
    </row>
    <row r="97" spans="3:10" ht="17.45">
      <c r="F97" s="2" t="s">
        <v>288</v>
      </c>
      <c r="G97" s="8">
        <v>2</v>
      </c>
    </row>
    <row r="98" spans="3:10" ht="15.95">
      <c r="F98" s="2" t="s">
        <v>289</v>
      </c>
      <c r="G98" s="8">
        <v>1.5</v>
      </c>
    </row>
    <row r="99" spans="3:10" ht="15.95">
      <c r="F99" s="2"/>
      <c r="G99" s="2"/>
    </row>
    <row r="102" spans="3:10" ht="15.95">
      <c r="C102" s="5">
        <v>10</v>
      </c>
      <c r="D102" t="s">
        <v>290</v>
      </c>
      <c r="F102" s="1" t="s">
        <v>144</v>
      </c>
      <c r="G102" s="1" t="s">
        <v>145</v>
      </c>
      <c r="I102" t="s">
        <v>224</v>
      </c>
      <c r="J102" s="5">
        <f>+SUM(G103:G109)</f>
        <v>24.5</v>
      </c>
    </row>
    <row r="103" spans="3:10" ht="15.95">
      <c r="F103" s="2" t="s">
        <v>291</v>
      </c>
      <c r="G103" s="8">
        <v>6.5</v>
      </c>
    </row>
    <row r="104" spans="3:10" ht="15.95">
      <c r="F104" s="2" t="s">
        <v>292</v>
      </c>
      <c r="G104" s="8">
        <v>5</v>
      </c>
    </row>
    <row r="105" spans="3:10" ht="15.95">
      <c r="F105" s="2" t="s">
        <v>293</v>
      </c>
      <c r="G105" s="8">
        <v>4</v>
      </c>
    </row>
    <row r="106" spans="3:10" ht="15.95">
      <c r="F106" s="2" t="s">
        <v>294</v>
      </c>
      <c r="G106" s="8">
        <v>3</v>
      </c>
    </row>
    <row r="107" spans="3:10" ht="17.45">
      <c r="F107" s="2" t="s">
        <v>295</v>
      </c>
      <c r="G107" s="8">
        <v>2.5</v>
      </c>
    </row>
    <row r="108" spans="3:10" ht="15.95">
      <c r="F108" s="2" t="s">
        <v>296</v>
      </c>
      <c r="G108" s="8">
        <v>2</v>
      </c>
    </row>
    <row r="109" spans="3:10" ht="17.45">
      <c r="F109" s="2" t="s">
        <v>297</v>
      </c>
      <c r="G109" s="8"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BDD1-674F-42BE-BFCD-0C80A248D235}">
  <dimension ref="B3:J112"/>
  <sheetViews>
    <sheetView showGridLines="0" topLeftCell="A106" workbookViewId="0">
      <selection activeCell="B36" sqref="B36"/>
    </sheetView>
  </sheetViews>
  <sheetFormatPr defaultRowHeight="14.45"/>
  <cols>
    <col min="2" max="2" width="9.5703125" bestFit="1" customWidth="1"/>
    <col min="3" max="3" width="2.85546875" style="5" bestFit="1" customWidth="1"/>
    <col min="4" max="4" width="53.5703125" bestFit="1" customWidth="1"/>
    <col min="6" max="6" width="33.28515625" bestFit="1" customWidth="1"/>
    <col min="7" max="7" width="8.140625" style="7" bestFit="1" customWidth="1"/>
    <col min="9" max="9" width="5.140625" bestFit="1" customWidth="1"/>
    <col min="10" max="10" width="2.85546875" style="5" bestFit="1" customWidth="1"/>
  </cols>
  <sheetData>
    <row r="3" spans="2:10">
      <c r="B3" s="5" t="s">
        <v>142</v>
      </c>
    </row>
    <row r="5" spans="2:10" ht="15.95">
      <c r="C5" s="5">
        <v>1</v>
      </c>
      <c r="D5" t="s">
        <v>298</v>
      </c>
      <c r="F5" s="3" t="s">
        <v>144</v>
      </c>
      <c r="G5" s="9" t="s">
        <v>145</v>
      </c>
      <c r="I5" t="s">
        <v>224</v>
      </c>
      <c r="J5" s="5">
        <f>+SUM(G6:G12)</f>
        <v>35</v>
      </c>
    </row>
    <row r="6" spans="2:10" ht="15.95">
      <c r="F6" s="4" t="s">
        <v>299</v>
      </c>
      <c r="G6" s="8">
        <v>9</v>
      </c>
      <c r="H6" s="7"/>
    </row>
    <row r="7" spans="2:10" ht="15.95">
      <c r="F7" s="4" t="s">
        <v>300</v>
      </c>
      <c r="G7" s="8">
        <v>7</v>
      </c>
      <c r="H7" s="7"/>
    </row>
    <row r="8" spans="2:10" ht="15.95">
      <c r="F8" s="4" t="s">
        <v>301</v>
      </c>
      <c r="G8" s="8">
        <v>5.5</v>
      </c>
      <c r="H8" s="7"/>
    </row>
    <row r="9" spans="2:10" ht="15.95">
      <c r="F9" s="4" t="s">
        <v>302</v>
      </c>
      <c r="G9" s="8">
        <v>4.5</v>
      </c>
      <c r="H9" s="7"/>
    </row>
    <row r="10" spans="2:10" ht="17.45">
      <c r="F10" s="4" t="s">
        <v>303</v>
      </c>
      <c r="G10" s="8">
        <v>3.5</v>
      </c>
      <c r="H10" s="7"/>
    </row>
    <row r="11" spans="2:10" ht="15.95">
      <c r="F11" s="4" t="s">
        <v>304</v>
      </c>
      <c r="G11" s="8">
        <v>3</v>
      </c>
      <c r="H11" s="7"/>
    </row>
    <row r="12" spans="2:10" ht="17.45">
      <c r="F12" s="4" t="s">
        <v>305</v>
      </c>
      <c r="G12" s="8">
        <v>2.5</v>
      </c>
      <c r="H12" s="7"/>
    </row>
    <row r="17" spans="3:10" ht="15.95">
      <c r="C17" s="5">
        <v>2</v>
      </c>
      <c r="D17" t="s">
        <v>306</v>
      </c>
      <c r="F17" s="1" t="s">
        <v>144</v>
      </c>
      <c r="G17" s="9" t="s">
        <v>145</v>
      </c>
      <c r="I17" t="s">
        <v>224</v>
      </c>
      <c r="J17" s="5">
        <f>+SUM(G18:G24)</f>
        <v>34</v>
      </c>
    </row>
    <row r="18" spans="3:10" ht="15.95">
      <c r="F18" s="2" t="s">
        <v>307</v>
      </c>
      <c r="G18" s="8">
        <v>8.5</v>
      </c>
      <c r="H18" s="7"/>
    </row>
    <row r="19" spans="3:10" ht="15.95">
      <c r="F19" s="2" t="s">
        <v>204</v>
      </c>
      <c r="G19" s="8">
        <v>6.5</v>
      </c>
      <c r="H19" s="7"/>
    </row>
    <row r="20" spans="3:10" ht="15.95">
      <c r="F20" s="2" t="s">
        <v>308</v>
      </c>
      <c r="G20" s="8">
        <v>5.5</v>
      </c>
      <c r="H20" s="7"/>
    </row>
    <row r="21" spans="3:10" ht="15.95">
      <c r="F21" s="2" t="s">
        <v>309</v>
      </c>
      <c r="G21" s="8">
        <v>4.5</v>
      </c>
      <c r="H21" s="7"/>
    </row>
    <row r="22" spans="3:10" ht="17.45">
      <c r="F22" s="2" t="s">
        <v>310</v>
      </c>
      <c r="G22" s="8">
        <v>3.5</v>
      </c>
      <c r="H22" s="7"/>
    </row>
    <row r="23" spans="3:10" ht="15.95">
      <c r="F23" s="2" t="s">
        <v>311</v>
      </c>
      <c r="G23" s="8">
        <v>3</v>
      </c>
      <c r="H23" s="7"/>
    </row>
    <row r="24" spans="3:10" ht="17.45">
      <c r="F24" s="2" t="s">
        <v>312</v>
      </c>
      <c r="G24" s="8">
        <v>2.5</v>
      </c>
      <c r="H24" s="7"/>
    </row>
    <row r="28" spans="3:10" ht="15.95">
      <c r="C28" s="5">
        <v>3</v>
      </c>
      <c r="D28" t="s">
        <v>313</v>
      </c>
      <c r="F28" s="1" t="s">
        <v>144</v>
      </c>
      <c r="G28" s="9" t="s">
        <v>145</v>
      </c>
      <c r="I28" t="s">
        <v>224</v>
      </c>
      <c r="J28" s="5">
        <f>+SUM(G29:G35)</f>
        <v>35</v>
      </c>
    </row>
    <row r="29" spans="3:10" ht="15.95">
      <c r="F29" s="2" t="s">
        <v>314</v>
      </c>
      <c r="G29" s="8">
        <v>9</v>
      </c>
      <c r="H29" s="7"/>
    </row>
    <row r="30" spans="3:10" ht="15.95">
      <c r="F30" s="2" t="s">
        <v>315</v>
      </c>
      <c r="G30" s="8">
        <v>7</v>
      </c>
      <c r="H30" s="7"/>
    </row>
    <row r="31" spans="3:10" ht="15.95">
      <c r="F31" s="2" t="s">
        <v>316</v>
      </c>
      <c r="G31" s="8">
        <v>5.5</v>
      </c>
      <c r="H31" s="7"/>
    </row>
    <row r="32" spans="3:10" ht="15.95">
      <c r="F32" s="2" t="s">
        <v>317</v>
      </c>
      <c r="G32" s="8">
        <v>4.5</v>
      </c>
      <c r="H32" s="7"/>
    </row>
    <row r="33" spans="3:10" ht="17.45">
      <c r="F33" s="2" t="s">
        <v>318</v>
      </c>
      <c r="G33" s="8">
        <v>3.5</v>
      </c>
      <c r="H33" s="7"/>
    </row>
    <row r="34" spans="3:10" ht="15.95">
      <c r="F34" s="2" t="s">
        <v>319</v>
      </c>
      <c r="G34" s="8">
        <v>3</v>
      </c>
      <c r="H34" s="7"/>
    </row>
    <row r="35" spans="3:10" ht="17.45">
      <c r="F35" s="2" t="s">
        <v>320</v>
      </c>
      <c r="G35" s="8">
        <v>2.5</v>
      </c>
      <c r="H35" s="7"/>
    </row>
    <row r="39" spans="3:10" ht="15.95">
      <c r="C39" s="5">
        <v>4</v>
      </c>
      <c r="D39" t="s">
        <v>321</v>
      </c>
      <c r="F39" s="1" t="s">
        <v>144</v>
      </c>
      <c r="G39" s="9" t="s">
        <v>145</v>
      </c>
      <c r="I39" t="s">
        <v>224</v>
      </c>
      <c r="J39" s="5">
        <f>+SUM(G40:G46)</f>
        <v>34</v>
      </c>
    </row>
    <row r="40" spans="3:10" ht="15.95">
      <c r="F40" s="2" t="s">
        <v>322</v>
      </c>
      <c r="G40" s="8">
        <v>8.5</v>
      </c>
      <c r="H40" s="7"/>
    </row>
    <row r="41" spans="3:10" ht="15.95">
      <c r="F41" s="2" t="s">
        <v>323</v>
      </c>
      <c r="G41" s="8">
        <v>6.5</v>
      </c>
      <c r="H41" s="7"/>
    </row>
    <row r="42" spans="3:10" ht="15.95">
      <c r="F42" s="2" t="s">
        <v>324</v>
      </c>
      <c r="G42" s="8">
        <v>5.5</v>
      </c>
      <c r="H42" s="7"/>
    </row>
    <row r="43" spans="3:10" ht="15.95">
      <c r="F43" s="2" t="s">
        <v>325</v>
      </c>
      <c r="G43" s="8">
        <v>4.5</v>
      </c>
      <c r="H43" s="7"/>
    </row>
    <row r="44" spans="3:10" ht="17.45">
      <c r="F44" s="2" t="s">
        <v>326</v>
      </c>
      <c r="G44" s="8">
        <v>3.5</v>
      </c>
      <c r="H44" s="7"/>
    </row>
    <row r="45" spans="3:10" ht="15.95">
      <c r="F45" s="2" t="s">
        <v>327</v>
      </c>
      <c r="G45" s="8">
        <v>3</v>
      </c>
      <c r="H45" s="7"/>
    </row>
    <row r="46" spans="3:10" ht="17.45">
      <c r="F46" s="2" t="s">
        <v>328</v>
      </c>
      <c r="G46" s="8">
        <v>2.5</v>
      </c>
      <c r="H46" s="7"/>
    </row>
    <row r="49" spans="3:10" ht="15.95">
      <c r="C49" s="5">
        <v>5</v>
      </c>
      <c r="D49" t="s">
        <v>329</v>
      </c>
      <c r="F49" s="1" t="s">
        <v>144</v>
      </c>
      <c r="G49" s="9" t="s">
        <v>145</v>
      </c>
      <c r="I49" t="s">
        <v>224</v>
      </c>
      <c r="J49" s="5">
        <f>+SUM(G50:G56)</f>
        <v>35</v>
      </c>
    </row>
    <row r="50" spans="3:10" ht="17.45">
      <c r="F50" s="2" t="s">
        <v>330</v>
      </c>
      <c r="G50" s="8">
        <v>9</v>
      </c>
      <c r="H50" s="7"/>
    </row>
    <row r="51" spans="3:10" ht="15.95">
      <c r="F51" s="2" t="s">
        <v>331</v>
      </c>
      <c r="G51" s="8">
        <v>7</v>
      </c>
      <c r="H51" s="7"/>
    </row>
    <row r="52" spans="3:10" ht="15.95">
      <c r="F52" s="2" t="s">
        <v>332</v>
      </c>
      <c r="G52" s="8">
        <v>5.5</v>
      </c>
      <c r="H52" s="7"/>
    </row>
    <row r="53" spans="3:10" ht="15.95">
      <c r="F53" s="2" t="s">
        <v>333</v>
      </c>
      <c r="G53" s="8">
        <v>4.5</v>
      </c>
      <c r="H53" s="7"/>
    </row>
    <row r="54" spans="3:10" ht="15.95">
      <c r="F54" s="2" t="s">
        <v>334</v>
      </c>
      <c r="G54" s="8">
        <v>3.5</v>
      </c>
      <c r="H54" s="7"/>
    </row>
    <row r="55" spans="3:10" ht="17.45">
      <c r="F55" s="2" t="s">
        <v>335</v>
      </c>
      <c r="G55" s="8">
        <v>3</v>
      </c>
      <c r="H55" s="7"/>
    </row>
    <row r="56" spans="3:10" ht="15.95">
      <c r="F56" s="2" t="s">
        <v>336</v>
      </c>
      <c r="G56" s="8">
        <v>2.5</v>
      </c>
      <c r="H56" s="7"/>
    </row>
    <row r="60" spans="3:10" ht="15.95">
      <c r="C60" s="5">
        <v>6</v>
      </c>
      <c r="D60" t="s">
        <v>337</v>
      </c>
      <c r="F60" s="1" t="s">
        <v>144</v>
      </c>
      <c r="G60" s="9" t="s">
        <v>145</v>
      </c>
      <c r="I60" t="s">
        <v>224</v>
      </c>
      <c r="J60" s="5">
        <f>+SUM(G61:G67)</f>
        <v>34.5</v>
      </c>
    </row>
    <row r="61" spans="3:10" ht="15.95">
      <c r="F61" s="2" t="s">
        <v>338</v>
      </c>
      <c r="G61" s="8">
        <v>8.5</v>
      </c>
      <c r="H61" s="7"/>
    </row>
    <row r="62" spans="3:10" ht="15.95">
      <c r="F62" s="2" t="s">
        <v>339</v>
      </c>
      <c r="G62" s="8">
        <v>7</v>
      </c>
      <c r="H62" s="7"/>
    </row>
    <row r="63" spans="3:10" ht="15.95">
      <c r="F63" s="2" t="s">
        <v>340</v>
      </c>
      <c r="G63" s="8">
        <v>5.5</v>
      </c>
      <c r="H63" s="7"/>
    </row>
    <row r="64" spans="3:10" ht="15.95">
      <c r="F64" s="2" t="s">
        <v>341</v>
      </c>
      <c r="G64" s="8">
        <v>4.5</v>
      </c>
      <c r="H64" s="7"/>
    </row>
    <row r="65" spans="3:10" ht="17.45">
      <c r="F65" s="2" t="s">
        <v>342</v>
      </c>
      <c r="G65" s="8">
        <v>3.5</v>
      </c>
      <c r="H65" s="7"/>
    </row>
    <row r="66" spans="3:10" ht="15.95">
      <c r="F66" s="2" t="s">
        <v>343</v>
      </c>
      <c r="G66" s="8">
        <v>3</v>
      </c>
      <c r="H66" s="7"/>
    </row>
    <row r="67" spans="3:10" ht="17.45">
      <c r="F67" s="2" t="s">
        <v>344</v>
      </c>
      <c r="G67" s="8">
        <v>2.5</v>
      </c>
      <c r="H67" s="7"/>
    </row>
    <row r="71" spans="3:10" ht="15.95">
      <c r="C71" s="5">
        <v>7</v>
      </c>
      <c r="D71" t="s">
        <v>345</v>
      </c>
      <c r="F71" s="1" t="s">
        <v>144</v>
      </c>
      <c r="G71" s="9" t="s">
        <v>145</v>
      </c>
      <c r="I71" t="s">
        <v>224</v>
      </c>
      <c r="J71" s="5">
        <f>+SUM(G72:G78)</f>
        <v>35</v>
      </c>
    </row>
    <row r="72" spans="3:10" ht="15.95">
      <c r="F72" s="2" t="s">
        <v>346</v>
      </c>
      <c r="G72" s="8">
        <v>9</v>
      </c>
      <c r="H72" s="7"/>
    </row>
    <row r="73" spans="3:10" ht="15.95">
      <c r="F73" s="2" t="s">
        <v>347</v>
      </c>
      <c r="G73" s="8">
        <v>7</v>
      </c>
      <c r="H73" s="7"/>
    </row>
    <row r="74" spans="3:10" ht="17.45">
      <c r="F74" s="2" t="s">
        <v>348</v>
      </c>
      <c r="G74" s="8">
        <v>5.5</v>
      </c>
      <c r="H74" s="7"/>
    </row>
    <row r="75" spans="3:10" ht="15.95">
      <c r="F75" s="2" t="s">
        <v>349</v>
      </c>
      <c r="G75" s="8">
        <v>4.5</v>
      </c>
      <c r="H75" s="7"/>
    </row>
    <row r="76" spans="3:10" ht="15.95">
      <c r="F76" s="2" t="s">
        <v>350</v>
      </c>
      <c r="G76" s="8">
        <v>3.5</v>
      </c>
      <c r="H76" s="7"/>
    </row>
    <row r="77" spans="3:10" ht="15.95">
      <c r="F77" s="2" t="s">
        <v>351</v>
      </c>
      <c r="G77" s="8">
        <v>3</v>
      </c>
      <c r="H77" s="7"/>
    </row>
    <row r="78" spans="3:10" ht="17.45">
      <c r="F78" s="2" t="s">
        <v>352</v>
      </c>
      <c r="G78" s="8">
        <v>2.5</v>
      </c>
      <c r="H78" s="7"/>
    </row>
    <row r="82" spans="3:10" ht="15.95">
      <c r="C82" s="5">
        <v>8</v>
      </c>
      <c r="D82" t="s">
        <v>353</v>
      </c>
      <c r="F82" s="1" t="s">
        <v>144</v>
      </c>
      <c r="G82" s="9" t="s">
        <v>145</v>
      </c>
      <c r="I82" t="s">
        <v>224</v>
      </c>
      <c r="J82" s="5">
        <f>+SUM(G83:G89)</f>
        <v>35</v>
      </c>
    </row>
    <row r="83" spans="3:10" ht="15.95">
      <c r="F83" s="2" t="s">
        <v>354</v>
      </c>
      <c r="G83" s="8">
        <v>9</v>
      </c>
      <c r="H83" s="7"/>
    </row>
    <row r="84" spans="3:10" ht="15.95">
      <c r="F84" s="2" t="s">
        <v>355</v>
      </c>
      <c r="G84" s="8">
        <v>7</v>
      </c>
      <c r="H84" s="7"/>
    </row>
    <row r="85" spans="3:10" ht="17.45">
      <c r="F85" s="2" t="s">
        <v>356</v>
      </c>
      <c r="G85" s="8">
        <v>5.5</v>
      </c>
      <c r="H85" s="7"/>
    </row>
    <row r="86" spans="3:10" ht="15.95">
      <c r="F86" s="2" t="s">
        <v>357</v>
      </c>
      <c r="G86" s="8">
        <v>4.5</v>
      </c>
      <c r="H86" s="7"/>
    </row>
    <row r="87" spans="3:10" ht="15.95">
      <c r="F87" s="2" t="s">
        <v>358</v>
      </c>
      <c r="G87" s="8">
        <v>3.5</v>
      </c>
      <c r="H87" s="7"/>
    </row>
    <row r="88" spans="3:10" ht="15.95">
      <c r="F88" s="2" t="s">
        <v>359</v>
      </c>
      <c r="G88" s="8">
        <v>3</v>
      </c>
      <c r="H88" s="7"/>
    </row>
    <row r="89" spans="3:10" ht="17.45">
      <c r="F89" s="2" t="s">
        <v>360</v>
      </c>
      <c r="G89" s="8">
        <v>2.5</v>
      </c>
      <c r="H89" s="7"/>
    </row>
    <row r="94" spans="3:10" ht="15.95">
      <c r="C94" s="5">
        <v>9</v>
      </c>
      <c r="D94" t="s">
        <v>361</v>
      </c>
      <c r="F94" s="1" t="s">
        <v>144</v>
      </c>
      <c r="G94" s="9" t="s">
        <v>145</v>
      </c>
      <c r="I94" t="s">
        <v>224</v>
      </c>
      <c r="J94" s="5">
        <f>+SUM(G95:G101)</f>
        <v>34</v>
      </c>
    </row>
    <row r="95" spans="3:10" ht="15.95">
      <c r="F95" s="2" t="s">
        <v>173</v>
      </c>
      <c r="G95" s="8">
        <v>8.5</v>
      </c>
      <c r="H95" s="7"/>
    </row>
    <row r="96" spans="3:10" ht="17.45">
      <c r="F96" s="2" t="s">
        <v>172</v>
      </c>
      <c r="G96" s="8">
        <v>6.5</v>
      </c>
      <c r="H96" s="7"/>
    </row>
    <row r="97" spans="3:10" ht="15.95">
      <c r="F97" s="2" t="s">
        <v>362</v>
      </c>
      <c r="G97" s="8">
        <v>5.5</v>
      </c>
      <c r="H97" s="7"/>
    </row>
    <row r="98" spans="3:10" ht="15.95">
      <c r="F98" s="2" t="s">
        <v>171</v>
      </c>
      <c r="G98" s="8">
        <v>4.5</v>
      </c>
      <c r="H98" s="7"/>
    </row>
    <row r="99" spans="3:10" ht="15.95">
      <c r="F99" s="2" t="s">
        <v>175</v>
      </c>
      <c r="G99" s="8">
        <v>3.5</v>
      </c>
      <c r="H99" s="7"/>
    </row>
    <row r="100" spans="3:10" ht="15.95">
      <c r="F100" s="2" t="s">
        <v>363</v>
      </c>
      <c r="G100" s="8">
        <v>3</v>
      </c>
      <c r="H100" s="7"/>
    </row>
    <row r="101" spans="3:10" ht="17.45">
      <c r="F101" s="2" t="s">
        <v>364</v>
      </c>
      <c r="G101" s="8">
        <v>2.5</v>
      </c>
      <c r="H101" s="7"/>
    </row>
    <row r="105" spans="3:10" ht="15.95">
      <c r="C105" s="5">
        <v>10</v>
      </c>
      <c r="D105" t="s">
        <v>365</v>
      </c>
      <c r="F105" s="1" t="s">
        <v>144</v>
      </c>
      <c r="G105" s="9" t="s">
        <v>145</v>
      </c>
      <c r="I105" t="s">
        <v>224</v>
      </c>
      <c r="J105" s="5">
        <f>+SUM(G106:G112)</f>
        <v>44</v>
      </c>
    </row>
    <row r="106" spans="3:10" ht="15.95">
      <c r="F106" s="2" t="s">
        <v>366</v>
      </c>
      <c r="G106" s="8">
        <v>11</v>
      </c>
      <c r="H106" s="7"/>
    </row>
    <row r="107" spans="3:10" ht="15.95">
      <c r="F107" s="2" t="s">
        <v>367</v>
      </c>
      <c r="G107" s="8">
        <v>9</v>
      </c>
      <c r="H107" s="7"/>
    </row>
    <row r="108" spans="3:10" ht="15.95">
      <c r="F108" s="2" t="s">
        <v>368</v>
      </c>
      <c r="G108" s="8">
        <v>7.5</v>
      </c>
      <c r="H108" s="7"/>
    </row>
    <row r="109" spans="3:10" ht="17.45">
      <c r="F109" s="2" t="s">
        <v>369</v>
      </c>
      <c r="G109" s="8">
        <v>5.5</v>
      </c>
      <c r="H109" s="7"/>
    </row>
    <row r="110" spans="3:10" ht="15.95">
      <c r="F110" s="2" t="s">
        <v>370</v>
      </c>
      <c r="G110" s="8">
        <v>4.5</v>
      </c>
      <c r="H110" s="7"/>
    </row>
    <row r="111" spans="3:10" ht="15.95">
      <c r="F111" s="2" t="s">
        <v>371</v>
      </c>
      <c r="G111" s="8">
        <v>3.5</v>
      </c>
      <c r="H111" s="7"/>
    </row>
    <row r="112" spans="3:10" ht="17.45">
      <c r="F112" s="2" t="s">
        <v>372</v>
      </c>
      <c r="G112" s="8">
        <v>3</v>
      </c>
      <c r="H11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3279-4D63-4F1D-8DEC-A8D073CCB10A}">
  <dimension ref="B8:F250"/>
  <sheetViews>
    <sheetView showGridLines="0" workbookViewId="0">
      <selection activeCell="K242" sqref="K242"/>
    </sheetView>
  </sheetViews>
  <sheetFormatPr defaultRowHeight="14.45"/>
  <cols>
    <col min="2" max="2" width="2.85546875" bestFit="1" customWidth="1"/>
    <col min="3" max="3" width="72.28515625" bestFit="1" customWidth="1"/>
    <col min="5" max="5" width="28.140625" bestFit="1" customWidth="1"/>
    <col min="6" max="6" width="8.140625" bestFit="1" customWidth="1"/>
  </cols>
  <sheetData>
    <row r="8" spans="2:6" ht="15.95">
      <c r="B8" s="5">
        <v>1</v>
      </c>
      <c r="C8" t="s">
        <v>373</v>
      </c>
      <c r="E8" s="3" t="s">
        <v>144</v>
      </c>
      <c r="F8" s="1" t="s">
        <v>145</v>
      </c>
    </row>
    <row r="9" spans="2:6" ht="15.95">
      <c r="B9" s="5"/>
      <c r="E9" s="4" t="s">
        <v>374</v>
      </c>
      <c r="F9" s="8">
        <v>6.5</v>
      </c>
    </row>
    <row r="10" spans="2:6" ht="15.95">
      <c r="B10" s="5"/>
      <c r="E10" s="4" t="s">
        <v>375</v>
      </c>
      <c r="F10" s="8">
        <v>5</v>
      </c>
    </row>
    <row r="11" spans="2:6" ht="15.95">
      <c r="B11" s="5"/>
      <c r="E11" s="4" t="s">
        <v>376</v>
      </c>
      <c r="F11" s="8">
        <v>4</v>
      </c>
    </row>
    <row r="12" spans="2:6" ht="15.95">
      <c r="B12" s="5"/>
      <c r="E12" s="4" t="s">
        <v>377</v>
      </c>
      <c r="F12" s="8">
        <v>3</v>
      </c>
    </row>
    <row r="13" spans="2:6" ht="17.45">
      <c r="B13" s="5"/>
      <c r="E13" s="4" t="s">
        <v>378</v>
      </c>
      <c r="F13" s="8">
        <v>2.5</v>
      </c>
    </row>
    <row r="14" spans="2:6" ht="15.95">
      <c r="B14" s="5"/>
      <c r="E14" s="4" t="s">
        <v>379</v>
      </c>
      <c r="F14" s="8">
        <v>2</v>
      </c>
    </row>
    <row r="17" spans="2:6" ht="15.95">
      <c r="B17" s="5">
        <v>2</v>
      </c>
      <c r="C17" t="s">
        <v>380</v>
      </c>
      <c r="E17" s="3" t="s">
        <v>144</v>
      </c>
      <c r="F17" s="1" t="s">
        <v>145</v>
      </c>
    </row>
    <row r="18" spans="2:6" ht="15.95">
      <c r="B18" s="5"/>
      <c r="E18" s="4" t="s">
        <v>381</v>
      </c>
      <c r="F18" s="8">
        <v>6.5</v>
      </c>
    </row>
    <row r="19" spans="2:6" ht="15.95">
      <c r="B19" s="5"/>
      <c r="E19" s="4" t="s">
        <v>382</v>
      </c>
      <c r="F19" s="8">
        <v>5</v>
      </c>
    </row>
    <row r="20" spans="2:6" ht="15.95">
      <c r="B20" s="5"/>
      <c r="E20" s="4" t="s">
        <v>383</v>
      </c>
      <c r="F20" s="8">
        <v>4</v>
      </c>
    </row>
    <row r="21" spans="2:6" ht="15.95">
      <c r="B21" s="5"/>
      <c r="E21" s="4" t="s">
        <v>384</v>
      </c>
      <c r="F21" s="8">
        <v>3</v>
      </c>
    </row>
    <row r="22" spans="2:6" ht="15.95">
      <c r="B22" s="5"/>
      <c r="E22" s="4" t="s">
        <v>385</v>
      </c>
      <c r="F22" s="8">
        <v>2.5</v>
      </c>
    </row>
    <row r="23" spans="2:6" ht="15.95">
      <c r="B23" s="5"/>
      <c r="E23" s="4"/>
      <c r="F23" s="8"/>
    </row>
    <row r="24" spans="2:6" ht="15.95">
      <c r="B24" s="5">
        <v>3</v>
      </c>
      <c r="C24" t="s">
        <v>380</v>
      </c>
      <c r="E24" s="3" t="s">
        <v>144</v>
      </c>
      <c r="F24" s="1" t="s">
        <v>145</v>
      </c>
    </row>
    <row r="25" spans="2:6" ht="15.95">
      <c r="B25" s="5"/>
      <c r="E25" s="4" t="s">
        <v>386</v>
      </c>
      <c r="F25" s="8">
        <v>6.5</v>
      </c>
    </row>
    <row r="26" spans="2:6" ht="15.95">
      <c r="B26" s="5"/>
      <c r="E26" s="4" t="s">
        <v>279</v>
      </c>
      <c r="F26" s="8">
        <v>5</v>
      </c>
    </row>
    <row r="27" spans="2:6" ht="15.95">
      <c r="B27" s="5"/>
      <c r="E27" s="4" t="s">
        <v>210</v>
      </c>
      <c r="F27" s="8">
        <v>4</v>
      </c>
    </row>
    <row r="28" spans="2:6" ht="15.95">
      <c r="B28" s="5"/>
      <c r="E28" s="4" t="s">
        <v>387</v>
      </c>
      <c r="F28" s="8">
        <v>3</v>
      </c>
    </row>
    <row r="29" spans="2:6" ht="15.95">
      <c r="B29" s="5"/>
      <c r="E29" s="4"/>
      <c r="F29" s="8"/>
    </row>
    <row r="30" spans="2:6" ht="15.95">
      <c r="B30" s="5"/>
      <c r="E30" s="4"/>
      <c r="F30" s="8"/>
    </row>
    <row r="31" spans="2:6" ht="15.95">
      <c r="B31" s="5">
        <v>4</v>
      </c>
      <c r="C31" t="s">
        <v>388</v>
      </c>
      <c r="E31" s="3" t="s">
        <v>144</v>
      </c>
      <c r="F31" s="1" t="s">
        <v>145</v>
      </c>
    </row>
    <row r="32" spans="2:6" ht="15.95">
      <c r="B32" s="5"/>
      <c r="E32" s="4" t="s">
        <v>389</v>
      </c>
      <c r="F32" s="8">
        <v>6.5</v>
      </c>
    </row>
    <row r="33" spans="2:6" ht="15.95">
      <c r="B33" s="5"/>
      <c r="E33" s="4" t="s">
        <v>390</v>
      </c>
      <c r="F33" s="8">
        <v>5</v>
      </c>
    </row>
    <row r="34" spans="2:6" ht="15.95">
      <c r="B34" s="5"/>
      <c r="E34" s="4" t="s">
        <v>391</v>
      </c>
      <c r="F34" s="8">
        <v>4</v>
      </c>
    </row>
    <row r="35" spans="2:6" ht="15.95">
      <c r="B35" s="5"/>
      <c r="E35" s="4" t="s">
        <v>392</v>
      </c>
      <c r="F35" s="8">
        <v>3</v>
      </c>
    </row>
    <row r="36" spans="2:6" ht="15.95">
      <c r="E36" s="4" t="s">
        <v>393</v>
      </c>
      <c r="F36" s="8">
        <v>2.5</v>
      </c>
    </row>
    <row r="37" spans="2:6" ht="15.95">
      <c r="E37" s="4" t="s">
        <v>394</v>
      </c>
      <c r="F37" s="8">
        <v>2</v>
      </c>
    </row>
    <row r="38" spans="2:6" ht="15.95">
      <c r="F38" s="8"/>
    </row>
    <row r="40" spans="2:6" ht="15.95">
      <c r="B40" s="5">
        <v>5</v>
      </c>
      <c r="C40" t="s">
        <v>395</v>
      </c>
      <c r="E40" s="3" t="s">
        <v>144</v>
      </c>
      <c r="F40" s="1" t="s">
        <v>145</v>
      </c>
    </row>
    <row r="41" spans="2:6" ht="15.95">
      <c r="B41" s="5"/>
      <c r="E41" s="4" t="s">
        <v>396</v>
      </c>
      <c r="F41" s="8">
        <v>6.5</v>
      </c>
    </row>
    <row r="42" spans="2:6" ht="15.95">
      <c r="B42" s="5"/>
      <c r="E42" s="4" t="s">
        <v>397</v>
      </c>
      <c r="F42" s="8">
        <v>5</v>
      </c>
    </row>
    <row r="43" spans="2:6" ht="15.95">
      <c r="B43" s="5"/>
      <c r="E43" s="4" t="s">
        <v>398</v>
      </c>
      <c r="F43" s="8">
        <v>4</v>
      </c>
    </row>
    <row r="44" spans="2:6" ht="15.95">
      <c r="B44" s="5"/>
      <c r="E44" s="4" t="s">
        <v>399</v>
      </c>
      <c r="F44" s="8">
        <v>3</v>
      </c>
    </row>
    <row r="45" spans="2:6" ht="15.95">
      <c r="E45" s="4" t="s">
        <v>400</v>
      </c>
      <c r="F45" s="8">
        <v>2.5</v>
      </c>
    </row>
    <row r="46" spans="2:6" ht="15.95">
      <c r="E46" s="4"/>
      <c r="F46" s="8"/>
    </row>
    <row r="48" spans="2:6" ht="15.95">
      <c r="B48" s="5">
        <v>6</v>
      </c>
      <c r="C48" t="s">
        <v>401</v>
      </c>
      <c r="E48" s="3" t="s">
        <v>144</v>
      </c>
      <c r="F48" s="1" t="s">
        <v>145</v>
      </c>
    </row>
    <row r="49" spans="2:6" ht="15.95">
      <c r="E49" s="4" t="s">
        <v>402</v>
      </c>
      <c r="F49" s="8">
        <v>6.5</v>
      </c>
    </row>
    <row r="50" spans="2:6" ht="15.95">
      <c r="E50" s="4" t="s">
        <v>403</v>
      </c>
      <c r="F50" s="8">
        <v>5</v>
      </c>
    </row>
    <row r="51" spans="2:6" ht="15.95">
      <c r="E51" s="4" t="s">
        <v>404</v>
      </c>
      <c r="F51" s="8">
        <v>4</v>
      </c>
    </row>
    <row r="52" spans="2:6" ht="15.95">
      <c r="E52" s="4" t="s">
        <v>405</v>
      </c>
      <c r="F52" s="8">
        <v>3</v>
      </c>
    </row>
    <row r="53" spans="2:6" ht="15.95">
      <c r="E53" s="4" t="s">
        <v>406</v>
      </c>
      <c r="F53" s="8">
        <v>2.5</v>
      </c>
    </row>
    <row r="54" spans="2:6" ht="15.95">
      <c r="E54" s="4" t="s">
        <v>407</v>
      </c>
      <c r="F54" s="8">
        <v>2</v>
      </c>
    </row>
    <row r="57" spans="2:6" ht="15.95">
      <c r="B57" s="5">
        <v>7</v>
      </c>
      <c r="C57" t="s">
        <v>408</v>
      </c>
      <c r="E57" s="3" t="s">
        <v>144</v>
      </c>
      <c r="F57" s="1" t="s">
        <v>145</v>
      </c>
    </row>
    <row r="58" spans="2:6" ht="15.95">
      <c r="E58" s="4" t="s">
        <v>409</v>
      </c>
      <c r="F58" s="8">
        <v>6.5</v>
      </c>
    </row>
    <row r="59" spans="2:6" ht="15.95">
      <c r="E59" s="4" t="s">
        <v>410</v>
      </c>
      <c r="F59" s="8">
        <v>5</v>
      </c>
    </row>
    <row r="60" spans="2:6" ht="15.95">
      <c r="E60" s="4" t="s">
        <v>411</v>
      </c>
      <c r="F60" s="8">
        <v>4</v>
      </c>
    </row>
    <row r="61" spans="2:6" ht="15.95">
      <c r="E61" s="4" t="s">
        <v>412</v>
      </c>
      <c r="F61" s="8">
        <v>3</v>
      </c>
    </row>
    <row r="62" spans="2:6" ht="15.95">
      <c r="E62" s="4" t="s">
        <v>413</v>
      </c>
      <c r="F62" s="8">
        <v>2.5</v>
      </c>
    </row>
    <row r="63" spans="2:6" ht="15.95">
      <c r="E63" s="4"/>
      <c r="F63" s="8"/>
    </row>
    <row r="64" spans="2:6" ht="15.95">
      <c r="E64" s="4"/>
      <c r="F64" s="8"/>
    </row>
    <row r="66" spans="2:6" ht="15.95">
      <c r="B66" s="5">
        <v>8</v>
      </c>
      <c r="C66" t="s">
        <v>414</v>
      </c>
      <c r="E66" s="3" t="s">
        <v>144</v>
      </c>
      <c r="F66" s="1" t="s">
        <v>145</v>
      </c>
    </row>
    <row r="67" spans="2:6" ht="15.95">
      <c r="E67" s="4" t="s">
        <v>415</v>
      </c>
      <c r="F67" s="8">
        <v>6.5</v>
      </c>
    </row>
    <row r="68" spans="2:6" ht="15.95">
      <c r="E68" s="4" t="s">
        <v>416</v>
      </c>
      <c r="F68" s="8">
        <v>5</v>
      </c>
    </row>
    <row r="69" spans="2:6" ht="15.95">
      <c r="E69" s="4" t="s">
        <v>417</v>
      </c>
      <c r="F69" s="8">
        <v>4</v>
      </c>
    </row>
    <row r="70" spans="2:6" ht="15.95">
      <c r="E70" s="4" t="s">
        <v>418</v>
      </c>
      <c r="F70" s="8">
        <v>3</v>
      </c>
    </row>
    <row r="71" spans="2:6" ht="15.95">
      <c r="E71" s="4" t="s">
        <v>419</v>
      </c>
      <c r="F71" s="8">
        <v>2.5</v>
      </c>
    </row>
    <row r="72" spans="2:6" ht="15.95">
      <c r="E72" s="4"/>
      <c r="F72" s="8"/>
    </row>
    <row r="74" spans="2:6" ht="15.95">
      <c r="B74" s="5">
        <v>9</v>
      </c>
      <c r="C74" t="s">
        <v>420</v>
      </c>
      <c r="E74" s="3" t="s">
        <v>144</v>
      </c>
      <c r="F74" s="1" t="s">
        <v>145</v>
      </c>
    </row>
    <row r="75" spans="2:6" ht="15.95">
      <c r="E75" s="4" t="s">
        <v>421</v>
      </c>
      <c r="F75" s="8">
        <v>6.5</v>
      </c>
    </row>
    <row r="76" spans="2:6" ht="15.95">
      <c r="E76" s="4" t="s">
        <v>422</v>
      </c>
      <c r="F76" s="8">
        <v>5</v>
      </c>
    </row>
    <row r="77" spans="2:6" ht="15.95">
      <c r="E77" s="4" t="s">
        <v>423</v>
      </c>
      <c r="F77" s="8">
        <v>4</v>
      </c>
    </row>
    <row r="78" spans="2:6" ht="15.95">
      <c r="E78" s="4" t="s">
        <v>424</v>
      </c>
      <c r="F78" s="8">
        <v>3</v>
      </c>
    </row>
    <row r="79" spans="2:6" ht="15.95">
      <c r="E79" s="4"/>
      <c r="F79" s="8"/>
    </row>
    <row r="82" spans="2:6" ht="15.95">
      <c r="B82" s="5">
        <v>10</v>
      </c>
      <c r="C82" t="s">
        <v>425</v>
      </c>
      <c r="E82" s="3" t="s">
        <v>144</v>
      </c>
      <c r="F82" s="1" t="s">
        <v>145</v>
      </c>
    </row>
    <row r="83" spans="2:6" ht="15.95">
      <c r="E83" s="4" t="s">
        <v>426</v>
      </c>
      <c r="F83" s="8">
        <v>6.5</v>
      </c>
    </row>
    <row r="84" spans="2:6" ht="15.95">
      <c r="E84" s="4" t="s">
        <v>427</v>
      </c>
      <c r="F84" s="8">
        <v>5</v>
      </c>
    </row>
    <row r="85" spans="2:6" ht="15.95">
      <c r="E85" s="4" t="s">
        <v>428</v>
      </c>
      <c r="F85" s="8">
        <v>4</v>
      </c>
    </row>
    <row r="86" spans="2:6" ht="15.95">
      <c r="E86" s="4" t="s">
        <v>429</v>
      </c>
      <c r="F86" s="8">
        <v>3</v>
      </c>
    </row>
    <row r="87" spans="2:6" ht="15.95">
      <c r="E87" s="4" t="s">
        <v>430</v>
      </c>
      <c r="F87" s="8">
        <v>2.5</v>
      </c>
    </row>
    <row r="88" spans="2:6" ht="15.95">
      <c r="E88" s="4" t="s">
        <v>431</v>
      </c>
      <c r="F88" s="8">
        <v>2</v>
      </c>
    </row>
    <row r="91" spans="2:6" ht="15.95">
      <c r="B91" s="5">
        <v>11</v>
      </c>
      <c r="C91" t="s">
        <v>432</v>
      </c>
      <c r="E91" s="3" t="s">
        <v>144</v>
      </c>
      <c r="F91" s="1" t="s">
        <v>145</v>
      </c>
    </row>
    <row r="92" spans="2:6" ht="15.95">
      <c r="E92" s="4" t="s">
        <v>433</v>
      </c>
      <c r="F92" s="8">
        <v>6.5</v>
      </c>
    </row>
    <row r="93" spans="2:6" ht="15.95">
      <c r="E93" s="4" t="s">
        <v>434</v>
      </c>
      <c r="F93" s="8">
        <v>5</v>
      </c>
    </row>
    <row r="94" spans="2:6" ht="15.95">
      <c r="E94" s="4" t="s">
        <v>435</v>
      </c>
      <c r="F94" s="8">
        <v>4</v>
      </c>
    </row>
    <row r="95" spans="2:6" ht="15.95">
      <c r="E95" s="4" t="s">
        <v>436</v>
      </c>
      <c r="F95" s="8">
        <v>3</v>
      </c>
    </row>
    <row r="96" spans="2:6" ht="15.95">
      <c r="E96" s="4"/>
      <c r="F96" s="8"/>
    </row>
    <row r="97" spans="2:6" ht="15.95">
      <c r="E97" s="4"/>
      <c r="F97" s="8"/>
    </row>
    <row r="98" spans="2:6" ht="15.95">
      <c r="B98" s="5">
        <v>12</v>
      </c>
      <c r="C98" t="s">
        <v>437</v>
      </c>
      <c r="E98" s="3" t="s">
        <v>144</v>
      </c>
      <c r="F98" s="1" t="s">
        <v>145</v>
      </c>
    </row>
    <row r="99" spans="2:6" ht="15.95">
      <c r="E99" s="4" t="s">
        <v>438</v>
      </c>
      <c r="F99" s="8">
        <v>6.5</v>
      </c>
    </row>
    <row r="100" spans="2:6" ht="15.95">
      <c r="E100" s="4" t="s">
        <v>439</v>
      </c>
      <c r="F100" s="8">
        <v>5</v>
      </c>
    </row>
    <row r="101" spans="2:6" ht="15.95">
      <c r="E101" s="4" t="s">
        <v>440</v>
      </c>
      <c r="F101" s="8">
        <v>4</v>
      </c>
    </row>
    <row r="102" spans="2:6" ht="15.95">
      <c r="E102" s="4" t="s">
        <v>441</v>
      </c>
      <c r="F102" s="8">
        <v>3</v>
      </c>
    </row>
    <row r="105" spans="2:6" ht="15.95">
      <c r="B105" s="5">
        <v>13</v>
      </c>
      <c r="C105" t="s">
        <v>442</v>
      </c>
      <c r="E105" s="3" t="s">
        <v>144</v>
      </c>
      <c r="F105" s="1" t="s">
        <v>145</v>
      </c>
    </row>
    <row r="106" spans="2:6" ht="15.95">
      <c r="E106" s="4" t="s">
        <v>443</v>
      </c>
      <c r="F106" s="8">
        <v>6.5</v>
      </c>
    </row>
    <row r="107" spans="2:6" ht="15.95">
      <c r="E107" s="4" t="s">
        <v>444</v>
      </c>
      <c r="F107" s="8">
        <v>5</v>
      </c>
    </row>
    <row r="108" spans="2:6" ht="15.95">
      <c r="E108" s="4" t="s">
        <v>445</v>
      </c>
      <c r="F108" s="8">
        <v>4</v>
      </c>
    </row>
    <row r="109" spans="2:6" ht="15.95">
      <c r="E109" s="4"/>
      <c r="F109" s="8"/>
    </row>
    <row r="111" spans="2:6" ht="15.95">
      <c r="B111" s="5">
        <v>14</v>
      </c>
      <c r="C111" t="s">
        <v>446</v>
      </c>
      <c r="E111" s="3" t="s">
        <v>144</v>
      </c>
      <c r="F111" s="1" t="s">
        <v>145</v>
      </c>
    </row>
    <row r="112" spans="2:6" ht="15.95">
      <c r="E112" s="4" t="s">
        <v>447</v>
      </c>
      <c r="F112" s="8">
        <v>6.5</v>
      </c>
    </row>
    <row r="113" spans="2:6" ht="15.95">
      <c r="E113" s="4" t="s">
        <v>448</v>
      </c>
      <c r="F113" s="8">
        <v>5</v>
      </c>
    </row>
    <row r="114" spans="2:6" ht="15.95">
      <c r="E114" s="4" t="s">
        <v>449</v>
      </c>
      <c r="F114" s="8">
        <v>4</v>
      </c>
    </row>
    <row r="115" spans="2:6" ht="15.95">
      <c r="E115" s="4" t="s">
        <v>450</v>
      </c>
      <c r="F115" s="8">
        <v>3</v>
      </c>
    </row>
    <row r="119" spans="2:6" ht="15.95">
      <c r="B119" s="5">
        <v>15</v>
      </c>
      <c r="C119" t="s">
        <v>451</v>
      </c>
      <c r="E119" s="3" t="s">
        <v>144</v>
      </c>
      <c r="F119" s="1" t="s">
        <v>145</v>
      </c>
    </row>
    <row r="120" spans="2:6" ht="15.95">
      <c r="E120" s="4" t="s">
        <v>452</v>
      </c>
      <c r="F120" s="8">
        <v>6.5</v>
      </c>
    </row>
    <row r="121" spans="2:6" ht="15.95">
      <c r="E121" s="4" t="s">
        <v>453</v>
      </c>
      <c r="F121" s="8">
        <v>5</v>
      </c>
    </row>
    <row r="122" spans="2:6" ht="15.95">
      <c r="E122" s="4" t="s">
        <v>454</v>
      </c>
      <c r="F122" s="8">
        <v>4</v>
      </c>
    </row>
    <row r="123" spans="2:6" ht="15.95">
      <c r="E123" s="4" t="s">
        <v>455</v>
      </c>
      <c r="F123" s="8">
        <v>3</v>
      </c>
    </row>
    <row r="127" spans="2:6" ht="15.95">
      <c r="B127" s="5">
        <v>16</v>
      </c>
      <c r="C127" t="s">
        <v>456</v>
      </c>
      <c r="E127" s="3" t="s">
        <v>144</v>
      </c>
      <c r="F127" s="1" t="s">
        <v>145</v>
      </c>
    </row>
    <row r="128" spans="2:6" ht="15.95">
      <c r="E128" s="4" t="s">
        <v>457</v>
      </c>
      <c r="F128" s="8">
        <v>6.5</v>
      </c>
    </row>
    <row r="129" spans="2:6" ht="15.95">
      <c r="E129" s="4" t="s">
        <v>458</v>
      </c>
      <c r="F129" s="8">
        <v>5</v>
      </c>
    </row>
    <row r="130" spans="2:6" ht="15.95">
      <c r="E130" s="4" t="s">
        <v>459</v>
      </c>
      <c r="F130" s="8">
        <v>4</v>
      </c>
    </row>
    <row r="131" spans="2:6" ht="15.95">
      <c r="E131" s="4" t="s">
        <v>460</v>
      </c>
      <c r="F131" s="8">
        <v>3</v>
      </c>
    </row>
    <row r="132" spans="2:6" ht="15.95">
      <c r="E132" s="4"/>
      <c r="F132" s="8"/>
    </row>
    <row r="133" spans="2:6" ht="15.95">
      <c r="E133" s="4"/>
      <c r="F133" s="8"/>
    </row>
    <row r="135" spans="2:6" ht="15.95">
      <c r="B135" s="5">
        <v>17</v>
      </c>
      <c r="C135" t="s">
        <v>461</v>
      </c>
      <c r="E135" s="3" t="s">
        <v>144</v>
      </c>
      <c r="F135" s="1" t="s">
        <v>145</v>
      </c>
    </row>
    <row r="136" spans="2:6" ht="15.95">
      <c r="E136" s="4" t="s">
        <v>462</v>
      </c>
      <c r="F136" s="8">
        <v>9</v>
      </c>
    </row>
    <row r="137" spans="2:6" ht="15.95">
      <c r="E137" s="4" t="s">
        <v>463</v>
      </c>
      <c r="F137" s="8">
        <v>7</v>
      </c>
    </row>
    <row r="138" spans="2:6" ht="15.95">
      <c r="E138" s="4" t="s">
        <v>464</v>
      </c>
      <c r="F138" s="8">
        <v>6</v>
      </c>
    </row>
    <row r="139" spans="2:6" ht="15.95">
      <c r="E139" s="4" t="s">
        <v>465</v>
      </c>
      <c r="F139" s="8">
        <v>5</v>
      </c>
    </row>
    <row r="140" spans="2:6" ht="15.95">
      <c r="E140" s="4" t="s">
        <v>466</v>
      </c>
      <c r="F140" s="8">
        <v>4</v>
      </c>
    </row>
    <row r="141" spans="2:6" ht="15.95">
      <c r="E141" s="4" t="s">
        <v>467</v>
      </c>
      <c r="F141" s="8">
        <v>3</v>
      </c>
    </row>
    <row r="142" spans="2:6" ht="15.95">
      <c r="E142" s="4" t="s">
        <v>468</v>
      </c>
      <c r="F142" s="8">
        <v>2</v>
      </c>
    </row>
    <row r="143" spans="2:6" ht="15.95">
      <c r="E143" s="4"/>
      <c r="F143" s="8"/>
    </row>
    <row r="144" spans="2:6" ht="15.95">
      <c r="E144" s="4"/>
      <c r="F144" s="8"/>
    </row>
    <row r="146" spans="2:6" ht="15.95">
      <c r="B146" s="5">
        <v>18</v>
      </c>
      <c r="C146" t="s">
        <v>469</v>
      </c>
      <c r="E146" s="3" t="s">
        <v>144</v>
      </c>
      <c r="F146" s="1" t="s">
        <v>145</v>
      </c>
    </row>
    <row r="147" spans="2:6" ht="15.95">
      <c r="E147" s="4" t="s">
        <v>470</v>
      </c>
      <c r="F147" s="8">
        <v>9</v>
      </c>
    </row>
    <row r="148" spans="2:6" ht="15.95">
      <c r="E148" s="4" t="s">
        <v>471</v>
      </c>
      <c r="F148" s="8">
        <v>7</v>
      </c>
    </row>
    <row r="149" spans="2:6" ht="15.95">
      <c r="E149" s="4" t="s">
        <v>472</v>
      </c>
      <c r="F149" s="8">
        <v>6</v>
      </c>
    </row>
    <row r="150" spans="2:6" ht="15.95">
      <c r="E150" s="4" t="s">
        <v>473</v>
      </c>
      <c r="F150" s="8">
        <v>5</v>
      </c>
    </row>
    <row r="151" spans="2:6" ht="15.95">
      <c r="E151" s="4"/>
      <c r="F151" s="8"/>
    </row>
    <row r="153" spans="2:6" ht="15.95">
      <c r="B153" s="5">
        <v>19</v>
      </c>
      <c r="C153" t="s">
        <v>474</v>
      </c>
      <c r="E153" s="3" t="s">
        <v>144</v>
      </c>
      <c r="F153" s="1" t="s">
        <v>145</v>
      </c>
    </row>
    <row r="154" spans="2:6" ht="15.95">
      <c r="E154" s="4" t="s">
        <v>475</v>
      </c>
      <c r="F154" s="8">
        <v>6.5</v>
      </c>
    </row>
    <row r="155" spans="2:6" ht="15.95">
      <c r="E155" s="4" t="s">
        <v>476</v>
      </c>
      <c r="F155" s="8">
        <v>5</v>
      </c>
    </row>
    <row r="156" spans="2:6" ht="15.95">
      <c r="E156" s="4" t="s">
        <v>477</v>
      </c>
      <c r="F156" s="8">
        <v>4</v>
      </c>
    </row>
    <row r="157" spans="2:6" ht="15.95">
      <c r="E157" s="4" t="s">
        <v>478</v>
      </c>
      <c r="F157" s="8">
        <v>3</v>
      </c>
    </row>
    <row r="158" spans="2:6" ht="15.95">
      <c r="E158" s="4" t="s">
        <v>479</v>
      </c>
      <c r="F158" s="8">
        <v>2.5</v>
      </c>
    </row>
    <row r="159" spans="2:6" ht="15.95">
      <c r="E159" s="4"/>
      <c r="F159" s="8"/>
    </row>
    <row r="160" spans="2:6" ht="15.95">
      <c r="E160" s="4"/>
      <c r="F160" s="8"/>
    </row>
    <row r="161" spans="2:6" ht="15.95">
      <c r="B161" s="5">
        <v>20</v>
      </c>
      <c r="C161" t="s">
        <v>480</v>
      </c>
      <c r="E161" s="3" t="s">
        <v>144</v>
      </c>
      <c r="F161" s="1" t="s">
        <v>145</v>
      </c>
    </row>
    <row r="162" spans="2:6" ht="15.95">
      <c r="E162" s="4" t="s">
        <v>481</v>
      </c>
      <c r="F162" s="8">
        <v>6.5</v>
      </c>
    </row>
    <row r="163" spans="2:6" ht="15.95">
      <c r="E163" s="4" t="s">
        <v>482</v>
      </c>
      <c r="F163" s="8">
        <v>5</v>
      </c>
    </row>
    <row r="164" spans="2:6" ht="15.95">
      <c r="E164" s="4" t="s">
        <v>483</v>
      </c>
      <c r="F164" s="8">
        <v>4</v>
      </c>
    </row>
    <row r="165" spans="2:6" ht="15.95">
      <c r="E165" s="4" t="s">
        <v>484</v>
      </c>
      <c r="F165" s="8">
        <v>3</v>
      </c>
    </row>
    <row r="166" spans="2:6" ht="15.95">
      <c r="E166" s="4"/>
      <c r="F166" s="8"/>
    </row>
    <row r="168" spans="2:6" ht="15.95">
      <c r="B168" s="5">
        <v>21</v>
      </c>
      <c r="C168" t="s">
        <v>485</v>
      </c>
      <c r="E168" s="3" t="s">
        <v>144</v>
      </c>
      <c r="F168" s="1" t="s">
        <v>145</v>
      </c>
    </row>
    <row r="169" spans="2:6" ht="15.95">
      <c r="E169" s="4" t="s">
        <v>486</v>
      </c>
      <c r="F169" s="8">
        <v>9</v>
      </c>
    </row>
    <row r="170" spans="2:6" ht="15.95">
      <c r="E170" s="4" t="s">
        <v>487</v>
      </c>
      <c r="F170" s="8">
        <v>8</v>
      </c>
    </row>
    <row r="171" spans="2:6" ht="15.95">
      <c r="E171" s="4" t="s">
        <v>488</v>
      </c>
      <c r="F171" s="8">
        <v>7</v>
      </c>
    </row>
    <row r="172" spans="2:6" ht="15.95">
      <c r="E172" s="4" t="s">
        <v>489</v>
      </c>
      <c r="F172" s="8">
        <v>6</v>
      </c>
    </row>
    <row r="173" spans="2:6" ht="15.95">
      <c r="E173" s="4" t="s">
        <v>490</v>
      </c>
      <c r="F173" s="8">
        <v>5</v>
      </c>
    </row>
    <row r="174" spans="2:6" ht="15.95">
      <c r="E174" s="4" t="s">
        <v>413</v>
      </c>
      <c r="F174" s="8">
        <v>4</v>
      </c>
    </row>
    <row r="175" spans="2:6" ht="15.95">
      <c r="E175" s="4" t="s">
        <v>491</v>
      </c>
      <c r="F175" s="8">
        <v>3</v>
      </c>
    </row>
    <row r="176" spans="2:6" ht="15.95">
      <c r="E176" s="4" t="s">
        <v>492</v>
      </c>
      <c r="F176" s="8">
        <v>2</v>
      </c>
    </row>
    <row r="179" spans="2:6" ht="15.95">
      <c r="B179" s="5">
        <v>22</v>
      </c>
      <c r="C179" t="s">
        <v>493</v>
      </c>
      <c r="E179" s="3" t="s">
        <v>144</v>
      </c>
      <c r="F179" s="1" t="s">
        <v>145</v>
      </c>
    </row>
    <row r="180" spans="2:6" ht="15.95">
      <c r="E180" s="4" t="s">
        <v>494</v>
      </c>
      <c r="F180" s="8">
        <v>9</v>
      </c>
    </row>
    <row r="181" spans="2:6" ht="15.95">
      <c r="E181" s="4" t="s">
        <v>495</v>
      </c>
      <c r="F181" s="8">
        <v>8</v>
      </c>
    </row>
    <row r="182" spans="2:6" ht="15.95">
      <c r="E182" s="4" t="s">
        <v>496</v>
      </c>
      <c r="F182" s="8">
        <v>7</v>
      </c>
    </row>
    <row r="183" spans="2:6" ht="15.95">
      <c r="E183" s="4" t="s">
        <v>497</v>
      </c>
      <c r="F183" s="8">
        <v>6</v>
      </c>
    </row>
    <row r="184" spans="2:6" ht="15.95">
      <c r="E184" s="4" t="s">
        <v>498</v>
      </c>
      <c r="F184" s="8">
        <v>5</v>
      </c>
    </row>
    <row r="185" spans="2:6" ht="15.95">
      <c r="E185" s="4" t="s">
        <v>499</v>
      </c>
      <c r="F185" s="8">
        <v>4</v>
      </c>
    </row>
    <row r="186" spans="2:6" ht="15.95">
      <c r="E186" s="4" t="s">
        <v>500</v>
      </c>
      <c r="F186" s="8">
        <v>3</v>
      </c>
    </row>
    <row r="187" spans="2:6" ht="15.95">
      <c r="E187" s="4"/>
      <c r="F187" s="8"/>
    </row>
    <row r="189" spans="2:6" ht="15.95">
      <c r="B189" s="5">
        <v>23</v>
      </c>
      <c r="C189" t="s">
        <v>501</v>
      </c>
      <c r="E189" s="3" t="s">
        <v>144</v>
      </c>
      <c r="F189" s="1" t="s">
        <v>145</v>
      </c>
    </row>
    <row r="190" spans="2:6" ht="15.95">
      <c r="E190" s="4" t="s">
        <v>502</v>
      </c>
      <c r="F190" s="8">
        <v>9</v>
      </c>
    </row>
    <row r="191" spans="2:6" ht="15.95">
      <c r="E191" s="4" t="s">
        <v>503</v>
      </c>
      <c r="F191" s="8">
        <v>8</v>
      </c>
    </row>
    <row r="192" spans="2:6" ht="15.95">
      <c r="E192" s="4" t="s">
        <v>504</v>
      </c>
      <c r="F192" s="8">
        <v>7</v>
      </c>
    </row>
    <row r="193" spans="2:6" ht="15.95">
      <c r="E193" s="4" t="s">
        <v>505</v>
      </c>
      <c r="F193" s="8">
        <v>6</v>
      </c>
    </row>
    <row r="194" spans="2:6" ht="15.95">
      <c r="E194" s="4"/>
      <c r="F194" s="8"/>
    </row>
    <row r="195" spans="2:6" ht="15.95">
      <c r="E195" s="4"/>
      <c r="F195" s="8"/>
    </row>
    <row r="196" spans="2:6" ht="15.95">
      <c r="B196" s="5">
        <v>24</v>
      </c>
      <c r="C196" t="s">
        <v>506</v>
      </c>
      <c r="E196" s="3" t="s">
        <v>144</v>
      </c>
      <c r="F196" s="1" t="s">
        <v>145</v>
      </c>
    </row>
    <row r="197" spans="2:6" ht="15.95">
      <c r="E197" s="4" t="s">
        <v>507</v>
      </c>
      <c r="F197" s="8">
        <v>9</v>
      </c>
    </row>
    <row r="198" spans="2:6" ht="15.95">
      <c r="E198" s="4" t="s">
        <v>508</v>
      </c>
      <c r="F198" s="8">
        <v>8</v>
      </c>
    </row>
    <row r="199" spans="2:6" ht="15.95">
      <c r="E199" s="4" t="s">
        <v>509</v>
      </c>
      <c r="F199" s="8">
        <v>7</v>
      </c>
    </row>
    <row r="200" spans="2:6" ht="15.95">
      <c r="E200" s="4" t="s">
        <v>510</v>
      </c>
      <c r="F200" s="8">
        <v>6</v>
      </c>
    </row>
    <row r="201" spans="2:6" ht="15.95">
      <c r="E201" s="4" t="s">
        <v>511</v>
      </c>
      <c r="F201" s="8">
        <v>5</v>
      </c>
    </row>
    <row r="204" spans="2:6" ht="15.95">
      <c r="B204" s="5">
        <v>25</v>
      </c>
      <c r="C204" t="s">
        <v>512</v>
      </c>
      <c r="E204" s="3" t="s">
        <v>144</v>
      </c>
      <c r="F204" s="1" t="s">
        <v>145</v>
      </c>
    </row>
    <row r="205" spans="2:6" ht="15.95">
      <c r="E205" s="4" t="s">
        <v>513</v>
      </c>
      <c r="F205" s="8">
        <v>9</v>
      </c>
    </row>
    <row r="206" spans="2:6" ht="15.95">
      <c r="E206" s="4" t="s">
        <v>514</v>
      </c>
      <c r="F206" s="8">
        <v>8</v>
      </c>
    </row>
    <row r="207" spans="2:6" ht="15.95">
      <c r="E207" s="4" t="s">
        <v>515</v>
      </c>
      <c r="F207" s="8">
        <v>7</v>
      </c>
    </row>
    <row r="208" spans="2:6" ht="15.95">
      <c r="E208" s="4" t="s">
        <v>516</v>
      </c>
      <c r="F208" s="8">
        <v>6</v>
      </c>
    </row>
    <row r="209" spans="2:6" ht="15.95">
      <c r="E209" s="4" t="s">
        <v>517</v>
      </c>
      <c r="F209" s="8">
        <v>5</v>
      </c>
    </row>
    <row r="212" spans="2:6" ht="15.95">
      <c r="B212" s="5">
        <v>26</v>
      </c>
      <c r="C212" t="s">
        <v>518</v>
      </c>
      <c r="E212" s="3" t="s">
        <v>144</v>
      </c>
      <c r="F212" s="1" t="s">
        <v>145</v>
      </c>
    </row>
    <row r="213" spans="2:6" ht="15.95">
      <c r="E213" s="4" t="s">
        <v>519</v>
      </c>
      <c r="F213" s="8">
        <v>9</v>
      </c>
    </row>
    <row r="214" spans="2:6" ht="15.95">
      <c r="E214" s="4" t="s">
        <v>520</v>
      </c>
      <c r="F214" s="8">
        <v>8</v>
      </c>
    </row>
    <row r="215" spans="2:6" ht="15.95">
      <c r="E215" s="4" t="s">
        <v>521</v>
      </c>
      <c r="F215" s="8">
        <v>7</v>
      </c>
    </row>
    <row r="216" spans="2:6" ht="15.95">
      <c r="E216" s="4" t="s">
        <v>522</v>
      </c>
      <c r="F216" s="8">
        <v>6</v>
      </c>
    </row>
    <row r="217" spans="2:6" ht="15.95">
      <c r="E217" s="4"/>
      <c r="F217" s="8"/>
    </row>
    <row r="220" spans="2:6" ht="15.95">
      <c r="B220" s="5">
        <v>27</v>
      </c>
      <c r="C220" t="s">
        <v>523</v>
      </c>
      <c r="E220" s="3" t="s">
        <v>144</v>
      </c>
      <c r="F220" s="1" t="s">
        <v>145</v>
      </c>
    </row>
    <row r="221" spans="2:6" ht="15.95">
      <c r="E221" s="4" t="s">
        <v>524</v>
      </c>
      <c r="F221" s="8">
        <v>9</v>
      </c>
    </row>
    <row r="222" spans="2:6" ht="15.95">
      <c r="E222" s="4" t="s">
        <v>525</v>
      </c>
      <c r="F222" s="8">
        <v>8</v>
      </c>
    </row>
    <row r="223" spans="2:6" ht="15.95">
      <c r="E223" s="4" t="s">
        <v>526</v>
      </c>
      <c r="F223" s="8">
        <v>7</v>
      </c>
    </row>
    <row r="224" spans="2:6" ht="15.95">
      <c r="E224" s="4" t="s">
        <v>527</v>
      </c>
      <c r="F224" s="8">
        <v>6</v>
      </c>
    </row>
    <row r="225" spans="2:6" ht="15.95">
      <c r="E225" s="4" t="s">
        <v>528</v>
      </c>
      <c r="F225" s="8">
        <v>5</v>
      </c>
    </row>
    <row r="228" spans="2:6" ht="15.95">
      <c r="B228" s="5">
        <v>28</v>
      </c>
      <c r="C228" t="s">
        <v>529</v>
      </c>
      <c r="E228" s="3" t="s">
        <v>144</v>
      </c>
      <c r="F228" s="1" t="s">
        <v>145</v>
      </c>
    </row>
    <row r="229" spans="2:6" ht="15.95">
      <c r="E229" s="4" t="s">
        <v>530</v>
      </c>
      <c r="F229" s="8">
        <v>9</v>
      </c>
    </row>
    <row r="230" spans="2:6" ht="15.95">
      <c r="E230" s="4" t="s">
        <v>531</v>
      </c>
      <c r="F230" s="8">
        <v>8</v>
      </c>
    </row>
    <row r="231" spans="2:6" ht="15.95">
      <c r="E231" s="4" t="s">
        <v>532</v>
      </c>
      <c r="F231" s="8">
        <v>7</v>
      </c>
    </row>
    <row r="232" spans="2:6" ht="15.95">
      <c r="E232" s="4" t="s">
        <v>533</v>
      </c>
      <c r="F232" s="8">
        <v>6</v>
      </c>
    </row>
    <row r="233" spans="2:6" ht="15.95">
      <c r="E233" s="4" t="s">
        <v>534</v>
      </c>
      <c r="F233" s="8">
        <v>5</v>
      </c>
    </row>
    <row r="236" spans="2:6" ht="15.95">
      <c r="B236" s="5">
        <v>29</v>
      </c>
      <c r="C236" t="s">
        <v>535</v>
      </c>
      <c r="E236" s="3" t="s">
        <v>144</v>
      </c>
      <c r="F236" s="1" t="s">
        <v>145</v>
      </c>
    </row>
    <row r="237" spans="2:6" ht="15.95">
      <c r="E237" s="4" t="s">
        <v>536</v>
      </c>
      <c r="F237" s="8">
        <v>9</v>
      </c>
    </row>
    <row r="238" spans="2:6" ht="15.95">
      <c r="E238" s="4" t="s">
        <v>537</v>
      </c>
      <c r="F238" s="8">
        <v>8</v>
      </c>
    </row>
    <row r="239" spans="2:6" ht="15.95">
      <c r="E239" s="4" t="s">
        <v>538</v>
      </c>
      <c r="F239" s="8">
        <v>7</v>
      </c>
    </row>
    <row r="240" spans="2:6" ht="15.95">
      <c r="E240" s="4" t="s">
        <v>539</v>
      </c>
      <c r="F240" s="8">
        <v>6</v>
      </c>
    </row>
    <row r="241" spans="2:6" ht="15.95">
      <c r="E241" s="4" t="s">
        <v>540</v>
      </c>
      <c r="F241" s="8">
        <v>5</v>
      </c>
    </row>
    <row r="245" spans="2:6" ht="15.95">
      <c r="B245" s="5">
        <v>30</v>
      </c>
      <c r="C245" t="s">
        <v>541</v>
      </c>
      <c r="E245" s="3" t="s">
        <v>144</v>
      </c>
      <c r="F245" s="1" t="s">
        <v>145</v>
      </c>
    </row>
    <row r="246" spans="2:6" ht="15.95">
      <c r="E246" s="4" t="s">
        <v>542</v>
      </c>
      <c r="F246" s="8">
        <v>9</v>
      </c>
    </row>
    <row r="247" spans="2:6" ht="15.95">
      <c r="E247" s="4" t="s">
        <v>543</v>
      </c>
      <c r="F247" s="8">
        <v>8</v>
      </c>
    </row>
    <row r="248" spans="2:6" ht="15.95">
      <c r="E248" s="4" t="s">
        <v>544</v>
      </c>
      <c r="F248" s="8">
        <v>7</v>
      </c>
    </row>
    <row r="249" spans="2:6" ht="15.95">
      <c r="E249" s="4" t="s">
        <v>545</v>
      </c>
      <c r="F249" s="8">
        <v>6</v>
      </c>
    </row>
    <row r="250" spans="2:6" ht="15.95">
      <c r="E250" s="4" t="s">
        <v>546</v>
      </c>
      <c r="F250" s="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5D61-6F3F-4148-B852-4358B79DEBAF}">
  <dimension ref="A1"/>
  <sheetViews>
    <sheetView showGridLines="0" workbookViewId="0">
      <selection activeCell="H27" sqref="H27"/>
    </sheetView>
  </sheetViews>
  <sheetFormatPr defaultRowHeight="14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0D5D-957D-48F8-9577-ADF133116EAC}">
  <dimension ref="B2:D52"/>
  <sheetViews>
    <sheetView showGridLines="0" workbookViewId="0">
      <selection activeCell="U9" sqref="U9"/>
    </sheetView>
  </sheetViews>
  <sheetFormatPr defaultRowHeight="14.45"/>
  <cols>
    <col min="2" max="2" width="4.140625" customWidth="1"/>
    <col min="3" max="3" width="21.5703125" bestFit="1" customWidth="1"/>
    <col min="4" max="4" width="10.42578125" bestFit="1" customWidth="1"/>
  </cols>
  <sheetData>
    <row r="2" spans="2:4">
      <c r="B2" t="s">
        <v>547</v>
      </c>
      <c r="C2" t="s">
        <v>548</v>
      </c>
      <c r="D2" t="s">
        <v>549</v>
      </c>
    </row>
    <row r="3" spans="2:4">
      <c r="B3" s="5">
        <v>1</v>
      </c>
      <c r="C3" t="s">
        <v>550</v>
      </c>
      <c r="D3" t="s">
        <v>551</v>
      </c>
    </row>
    <row r="4" spans="2:4">
      <c r="B4" s="5">
        <f>+B3+1</f>
        <v>2</v>
      </c>
      <c r="C4" t="s">
        <v>552</v>
      </c>
      <c r="D4" t="s">
        <v>553</v>
      </c>
    </row>
    <row r="5" spans="2:4">
      <c r="B5" s="5">
        <f t="shared" ref="B5:B52" si="0">+B4+1</f>
        <v>3</v>
      </c>
      <c r="C5" t="s">
        <v>554</v>
      </c>
      <c r="D5" t="s">
        <v>555</v>
      </c>
    </row>
    <row r="6" spans="2:4">
      <c r="B6" s="5">
        <f t="shared" si="0"/>
        <v>4</v>
      </c>
      <c r="C6" t="s">
        <v>556</v>
      </c>
      <c r="D6" t="s">
        <v>555</v>
      </c>
    </row>
    <row r="7" spans="2:4">
      <c r="B7" s="5">
        <f t="shared" si="0"/>
        <v>5</v>
      </c>
      <c r="C7" t="s">
        <v>557</v>
      </c>
      <c r="D7" t="s">
        <v>555</v>
      </c>
    </row>
    <row r="8" spans="2:4">
      <c r="B8" s="5">
        <f t="shared" si="0"/>
        <v>6</v>
      </c>
      <c r="C8" t="s">
        <v>558</v>
      </c>
      <c r="D8" t="s">
        <v>559</v>
      </c>
    </row>
    <row r="9" spans="2:4">
      <c r="B9" s="5">
        <f t="shared" si="0"/>
        <v>7</v>
      </c>
      <c r="C9" t="s">
        <v>560</v>
      </c>
      <c r="D9" t="s">
        <v>561</v>
      </c>
    </row>
    <row r="10" spans="2:4">
      <c r="B10" s="5">
        <f t="shared" si="0"/>
        <v>8</v>
      </c>
      <c r="C10" t="s">
        <v>562</v>
      </c>
      <c r="D10" t="s">
        <v>563</v>
      </c>
    </row>
    <row r="11" spans="2:4">
      <c r="B11" s="5">
        <f t="shared" si="0"/>
        <v>9</v>
      </c>
      <c r="C11" t="s">
        <v>564</v>
      </c>
      <c r="D11" t="s">
        <v>565</v>
      </c>
    </row>
    <row r="12" spans="2:4">
      <c r="B12" s="5">
        <f t="shared" si="0"/>
        <v>10</v>
      </c>
      <c r="C12" t="s">
        <v>566</v>
      </c>
      <c r="D12" t="s">
        <v>567</v>
      </c>
    </row>
    <row r="13" spans="2:4">
      <c r="B13" s="5">
        <f t="shared" si="0"/>
        <v>11</v>
      </c>
      <c r="C13" t="s">
        <v>568</v>
      </c>
      <c r="D13" t="s">
        <v>569</v>
      </c>
    </row>
    <row r="14" spans="2:4">
      <c r="B14" s="5">
        <f t="shared" si="0"/>
        <v>12</v>
      </c>
      <c r="C14" t="s">
        <v>570</v>
      </c>
      <c r="D14" t="s">
        <v>571</v>
      </c>
    </row>
    <row r="15" spans="2:4">
      <c r="B15" s="5">
        <f t="shared" si="0"/>
        <v>13</v>
      </c>
      <c r="C15" t="s">
        <v>572</v>
      </c>
      <c r="D15" t="s">
        <v>573</v>
      </c>
    </row>
    <row r="16" spans="2:4">
      <c r="B16" s="5">
        <f t="shared" si="0"/>
        <v>14</v>
      </c>
      <c r="C16" t="s">
        <v>574</v>
      </c>
      <c r="D16" t="s">
        <v>575</v>
      </c>
    </row>
    <row r="17" spans="2:4">
      <c r="B17" s="5">
        <f t="shared" si="0"/>
        <v>15</v>
      </c>
      <c r="C17" t="s">
        <v>576</v>
      </c>
      <c r="D17" t="s">
        <v>577</v>
      </c>
    </row>
    <row r="18" spans="2:4">
      <c r="B18" s="5">
        <f t="shared" si="0"/>
        <v>16</v>
      </c>
      <c r="C18" t="s">
        <v>578</v>
      </c>
      <c r="D18" t="s">
        <v>569</v>
      </c>
    </row>
    <row r="19" spans="2:4">
      <c r="B19" s="5">
        <f t="shared" si="0"/>
        <v>17</v>
      </c>
      <c r="C19" t="s">
        <v>579</v>
      </c>
      <c r="D19" t="s">
        <v>580</v>
      </c>
    </row>
    <row r="20" spans="2:4">
      <c r="B20" s="5">
        <f t="shared" si="0"/>
        <v>18</v>
      </c>
      <c r="C20" t="s">
        <v>581</v>
      </c>
      <c r="D20" t="s">
        <v>582</v>
      </c>
    </row>
    <row r="21" spans="2:4">
      <c r="B21" s="5">
        <f t="shared" si="0"/>
        <v>19</v>
      </c>
      <c r="C21" t="s">
        <v>583</v>
      </c>
      <c r="D21" t="s">
        <v>584</v>
      </c>
    </row>
    <row r="22" spans="2:4">
      <c r="B22" s="5">
        <f t="shared" si="0"/>
        <v>20</v>
      </c>
      <c r="C22" t="s">
        <v>585</v>
      </c>
      <c r="D22" t="s">
        <v>586</v>
      </c>
    </row>
    <row r="23" spans="2:4">
      <c r="B23" s="5">
        <f t="shared" si="0"/>
        <v>21</v>
      </c>
      <c r="C23" t="s">
        <v>587</v>
      </c>
      <c r="D23" t="s">
        <v>588</v>
      </c>
    </row>
    <row r="24" spans="2:4">
      <c r="B24" s="5">
        <f t="shared" si="0"/>
        <v>22</v>
      </c>
      <c r="C24" t="s">
        <v>589</v>
      </c>
      <c r="D24" t="s">
        <v>590</v>
      </c>
    </row>
    <row r="25" spans="2:4">
      <c r="B25" s="5">
        <f t="shared" si="0"/>
        <v>23</v>
      </c>
      <c r="C25" t="s">
        <v>591</v>
      </c>
      <c r="D25" t="s">
        <v>592</v>
      </c>
    </row>
    <row r="26" spans="2:4">
      <c r="B26" s="5">
        <f t="shared" si="0"/>
        <v>24</v>
      </c>
      <c r="C26" t="s">
        <v>593</v>
      </c>
      <c r="D26" t="s">
        <v>594</v>
      </c>
    </row>
    <row r="27" spans="2:4">
      <c r="B27" s="5">
        <f t="shared" si="0"/>
        <v>25</v>
      </c>
      <c r="C27" t="s">
        <v>595</v>
      </c>
      <c r="D27" t="s">
        <v>577</v>
      </c>
    </row>
    <row r="28" spans="2:4">
      <c r="B28" s="5">
        <f t="shared" si="0"/>
        <v>26</v>
      </c>
      <c r="C28" t="s">
        <v>596</v>
      </c>
      <c r="D28" t="s">
        <v>597</v>
      </c>
    </row>
    <row r="29" spans="2:4">
      <c r="B29" s="5">
        <f t="shared" si="0"/>
        <v>27</v>
      </c>
      <c r="C29" t="s">
        <v>598</v>
      </c>
      <c r="D29" t="s">
        <v>599</v>
      </c>
    </row>
    <row r="30" spans="2:4">
      <c r="B30" s="5">
        <f t="shared" si="0"/>
        <v>28</v>
      </c>
      <c r="C30" t="s">
        <v>600</v>
      </c>
      <c r="D30" t="s">
        <v>601</v>
      </c>
    </row>
    <row r="31" spans="2:4">
      <c r="B31" s="5">
        <f t="shared" si="0"/>
        <v>29</v>
      </c>
      <c r="C31" t="s">
        <v>602</v>
      </c>
      <c r="D31" t="s">
        <v>603</v>
      </c>
    </row>
    <row r="32" spans="2:4">
      <c r="B32" s="5">
        <f t="shared" si="0"/>
        <v>30</v>
      </c>
      <c r="C32" t="s">
        <v>604</v>
      </c>
      <c r="D32" t="s">
        <v>605</v>
      </c>
    </row>
    <row r="33" spans="2:4">
      <c r="B33" s="5">
        <f t="shared" si="0"/>
        <v>31</v>
      </c>
      <c r="C33" t="s">
        <v>606</v>
      </c>
      <c r="D33" t="s">
        <v>607</v>
      </c>
    </row>
    <row r="34" spans="2:4">
      <c r="B34" s="5">
        <f t="shared" si="0"/>
        <v>32</v>
      </c>
      <c r="C34" t="s">
        <v>608</v>
      </c>
      <c r="D34" t="s">
        <v>609</v>
      </c>
    </row>
    <row r="35" spans="2:4">
      <c r="B35" s="5">
        <f t="shared" si="0"/>
        <v>33</v>
      </c>
      <c r="C35" t="s">
        <v>610</v>
      </c>
      <c r="D35" t="s">
        <v>611</v>
      </c>
    </row>
    <row r="36" spans="2:4">
      <c r="B36" s="5">
        <f t="shared" si="0"/>
        <v>34</v>
      </c>
      <c r="C36" t="s">
        <v>612</v>
      </c>
      <c r="D36" t="s">
        <v>613</v>
      </c>
    </row>
    <row r="37" spans="2:4">
      <c r="B37" s="5">
        <f t="shared" si="0"/>
        <v>35</v>
      </c>
      <c r="C37" t="s">
        <v>614</v>
      </c>
      <c r="D37" t="s">
        <v>615</v>
      </c>
    </row>
    <row r="38" spans="2:4">
      <c r="B38" s="5">
        <f t="shared" si="0"/>
        <v>36</v>
      </c>
      <c r="C38" t="s">
        <v>616</v>
      </c>
      <c r="D38" t="s">
        <v>599</v>
      </c>
    </row>
    <row r="39" spans="2:4">
      <c r="B39" s="5">
        <f t="shared" si="0"/>
        <v>37</v>
      </c>
      <c r="C39" t="s">
        <v>617</v>
      </c>
      <c r="D39" t="s">
        <v>618</v>
      </c>
    </row>
    <row r="40" spans="2:4">
      <c r="B40" s="5">
        <f t="shared" si="0"/>
        <v>38</v>
      </c>
      <c r="C40" t="s">
        <v>619</v>
      </c>
      <c r="D40" t="s">
        <v>620</v>
      </c>
    </row>
    <row r="41" spans="2:4">
      <c r="B41" s="5">
        <f t="shared" si="0"/>
        <v>39</v>
      </c>
      <c r="C41" t="s">
        <v>621</v>
      </c>
      <c r="D41" t="s">
        <v>622</v>
      </c>
    </row>
    <row r="42" spans="2:4">
      <c r="B42" s="5">
        <f t="shared" si="0"/>
        <v>40</v>
      </c>
      <c r="C42" t="s">
        <v>623</v>
      </c>
      <c r="D42" t="s">
        <v>624</v>
      </c>
    </row>
    <row r="43" spans="2:4">
      <c r="B43" s="5">
        <f t="shared" si="0"/>
        <v>41</v>
      </c>
      <c r="C43" t="s">
        <v>625</v>
      </c>
      <c r="D43" t="s">
        <v>626</v>
      </c>
    </row>
    <row r="44" spans="2:4">
      <c r="B44" s="5">
        <f t="shared" si="0"/>
        <v>42</v>
      </c>
      <c r="C44" t="s">
        <v>627</v>
      </c>
      <c r="D44" t="s">
        <v>628</v>
      </c>
    </row>
    <row r="45" spans="2:4">
      <c r="B45" s="5">
        <f t="shared" si="0"/>
        <v>43</v>
      </c>
      <c r="C45" t="s">
        <v>629</v>
      </c>
      <c r="D45" t="s">
        <v>622</v>
      </c>
    </row>
    <row r="46" spans="2:4">
      <c r="B46" s="5">
        <f t="shared" si="0"/>
        <v>44</v>
      </c>
      <c r="C46" t="s">
        <v>630</v>
      </c>
      <c r="D46" t="s">
        <v>631</v>
      </c>
    </row>
    <row r="47" spans="2:4">
      <c r="B47" s="5">
        <f t="shared" si="0"/>
        <v>45</v>
      </c>
      <c r="C47" t="s">
        <v>632</v>
      </c>
      <c r="D47" t="s">
        <v>633</v>
      </c>
    </row>
    <row r="48" spans="2:4">
      <c r="B48" s="5">
        <f t="shared" si="0"/>
        <v>46</v>
      </c>
      <c r="C48" t="s">
        <v>634</v>
      </c>
      <c r="D48" t="s">
        <v>635</v>
      </c>
    </row>
    <row r="49" spans="2:4">
      <c r="B49" s="5">
        <f t="shared" si="0"/>
        <v>47</v>
      </c>
      <c r="C49" t="s">
        <v>636</v>
      </c>
      <c r="D49" t="s">
        <v>637</v>
      </c>
    </row>
    <row r="50" spans="2:4">
      <c r="B50" s="5">
        <f t="shared" si="0"/>
        <v>48</v>
      </c>
      <c r="C50" t="s">
        <v>638</v>
      </c>
      <c r="D50" t="s">
        <v>639</v>
      </c>
    </row>
    <row r="51" spans="2:4">
      <c r="B51" s="5">
        <f>+B50+1</f>
        <v>49</v>
      </c>
      <c r="C51" t="s">
        <v>640</v>
      </c>
      <c r="D51" t="s">
        <v>637</v>
      </c>
    </row>
    <row r="52" spans="2:4">
      <c r="B52" s="5">
        <f t="shared" si="0"/>
        <v>50</v>
      </c>
      <c r="C52" t="s">
        <v>641</v>
      </c>
      <c r="D52" t="s">
        <v>582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BE2F-26D7-46EB-B1EF-E3903AC46BE6}">
  <dimension ref="A6:P17"/>
  <sheetViews>
    <sheetView tabSelected="1" workbookViewId="0">
      <selection activeCell="E7" sqref="E7"/>
    </sheetView>
  </sheetViews>
  <sheetFormatPr defaultColWidth="9.28515625" defaultRowHeight="15"/>
  <cols>
    <col min="2" max="2" width="23.28515625" bestFit="1" customWidth="1"/>
    <col min="5" max="5" width="23.28515625" bestFit="1" customWidth="1"/>
    <col min="12" max="12" width="2.28515625" bestFit="1" customWidth="1"/>
    <col min="13" max="13" width="51.5703125" bestFit="1" customWidth="1"/>
    <col min="15" max="15" width="23.28515625" bestFit="1" customWidth="1"/>
    <col min="16" max="16" width="8.7109375" bestFit="1" customWidth="1"/>
  </cols>
  <sheetData>
    <row r="6" spans="1:16">
      <c r="E6">
        <v>45</v>
      </c>
    </row>
    <row r="7" spans="1:16" ht="15.75">
      <c r="D7" t="s">
        <v>642</v>
      </c>
      <c r="F7" t="s">
        <v>642</v>
      </c>
      <c r="L7" s="5">
        <v>1</v>
      </c>
      <c r="M7" t="s">
        <v>143</v>
      </c>
      <c r="O7" s="3" t="s">
        <v>144</v>
      </c>
      <c r="P7" s="1" t="s">
        <v>145</v>
      </c>
    </row>
    <row r="8" spans="1:16" ht="15.75">
      <c r="F8">
        <v>15</v>
      </c>
      <c r="L8" s="5"/>
      <c r="O8" s="4" t="s">
        <v>146</v>
      </c>
      <c r="P8" s="8">
        <v>6.5</v>
      </c>
    </row>
    <row r="9" spans="1:16" ht="15.75">
      <c r="D9" t="s">
        <v>643</v>
      </c>
      <c r="F9" t="s">
        <v>644</v>
      </c>
      <c r="L9" s="5"/>
      <c r="O9" s="4" t="s">
        <v>147</v>
      </c>
      <c r="P9" s="8">
        <v>5</v>
      </c>
    </row>
    <row r="10" spans="1:16" ht="15.75">
      <c r="E10" s="3" t="s">
        <v>144</v>
      </c>
      <c r="F10" s="1" t="s">
        <v>145</v>
      </c>
      <c r="L10" s="5"/>
      <c r="O10" s="10" t="s">
        <v>148</v>
      </c>
      <c r="P10" s="11">
        <v>4</v>
      </c>
    </row>
    <row r="11" spans="1:16" ht="15.75">
      <c r="A11">
        <v>1</v>
      </c>
      <c r="B11" s="4" t="s">
        <v>146</v>
      </c>
      <c r="C11" s="8">
        <v>6.5</v>
      </c>
      <c r="E11" s="4" t="s">
        <v>146</v>
      </c>
      <c r="F11" s="8">
        <v>6.5</v>
      </c>
      <c r="L11" s="5"/>
      <c r="O11" s="12" t="s">
        <v>149</v>
      </c>
      <c r="P11" s="13">
        <v>3</v>
      </c>
    </row>
    <row r="12" spans="1:16" ht="17.25">
      <c r="A12">
        <v>2</v>
      </c>
      <c r="B12" s="4" t="s">
        <v>147</v>
      </c>
      <c r="C12" s="8">
        <v>5</v>
      </c>
      <c r="E12" s="4" t="s">
        <v>645</v>
      </c>
      <c r="F12" s="8"/>
      <c r="G12" t="s">
        <v>646</v>
      </c>
      <c r="H12" t="s">
        <v>647</v>
      </c>
      <c r="I12" t="s">
        <v>647</v>
      </c>
      <c r="L12" s="5"/>
      <c r="O12" s="10" t="s">
        <v>150</v>
      </c>
      <c r="P12" s="11">
        <v>2.5</v>
      </c>
    </row>
    <row r="13" spans="1:16" ht="15.75">
      <c r="A13">
        <v>3</v>
      </c>
      <c r="B13" s="10" t="s">
        <v>148</v>
      </c>
      <c r="C13" s="11">
        <v>4</v>
      </c>
      <c r="E13" s="4" t="s">
        <v>645</v>
      </c>
      <c r="F13" s="11"/>
      <c r="L13" s="5"/>
      <c r="O13" s="4" t="s">
        <v>151</v>
      </c>
      <c r="P13" s="8">
        <v>2</v>
      </c>
    </row>
    <row r="14" spans="1:16" ht="15.75">
      <c r="A14">
        <v>4</v>
      </c>
      <c r="B14" s="12" t="s">
        <v>149</v>
      </c>
      <c r="C14" s="13">
        <v>3</v>
      </c>
      <c r="E14" s="12" t="s">
        <v>149</v>
      </c>
      <c r="F14" s="13">
        <v>3</v>
      </c>
      <c r="L14" s="5"/>
      <c r="O14" s="10" t="s">
        <v>152</v>
      </c>
      <c r="P14" s="11">
        <v>1.5</v>
      </c>
    </row>
    <row r="15" spans="1:16" ht="17.25">
      <c r="A15">
        <v>5</v>
      </c>
      <c r="B15" s="10" t="s">
        <v>150</v>
      </c>
      <c r="C15" s="11">
        <v>2.5</v>
      </c>
      <c r="E15" s="10" t="s">
        <v>150</v>
      </c>
      <c r="F15" s="11">
        <v>2.5</v>
      </c>
    </row>
    <row r="16" spans="1:16" ht="15.75">
      <c r="A16">
        <v>6</v>
      </c>
      <c r="B16" s="4" t="s">
        <v>151</v>
      </c>
      <c r="C16" s="8">
        <v>2</v>
      </c>
      <c r="E16" s="4" t="s">
        <v>645</v>
      </c>
      <c r="F16" s="8"/>
    </row>
    <row r="17" spans="1:6" ht="15.75">
      <c r="A17">
        <v>7</v>
      </c>
      <c r="B17" s="10" t="s">
        <v>152</v>
      </c>
      <c r="C17" s="11">
        <v>1.5</v>
      </c>
      <c r="E17" s="10" t="s">
        <v>152</v>
      </c>
      <c r="F17" s="11">
        <v>1.5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78867-c674-4f8e-93fc-1aba979ef712}" enabled="1" method="Privileged" siteId="{e7290980-632a-4f65-bbb2-1151420d7c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Suárez, Nicolás</dc:creator>
  <cp:keywords/>
  <dc:description/>
  <cp:lastModifiedBy/>
  <cp:revision/>
  <dcterms:created xsi:type="dcterms:W3CDTF">2026-05-27T19:02:39Z</dcterms:created>
  <dcterms:modified xsi:type="dcterms:W3CDTF">2026-05-31T01:56:06Z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